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C:\Users\07826\Downloads\"/>
    </mc:Choice>
  </mc:AlternateContent>
  <xr:revisionPtr revIDLastSave="0" documentId="13_ncr:1_{AEB557E3-E54B-4D35-97CE-DDBB2E097497}" xr6:coauthVersionLast="47" xr6:coauthVersionMax="47" xr10:uidLastSave="{00000000-0000-0000-0000-000000000000}"/>
  <bookViews>
    <workbookView xWindow="-110" yWindow="-110" windowWidth="19420" windowHeight="10300" xr2:uid="{00000000-000D-0000-FFFF-FFFF00000000}"/>
  </bookViews>
  <sheets>
    <sheet name="Tenders" sheetId="1" r:id="rId1"/>
    <sheet name="Advisor contact" sheetId="3" r:id="rId2"/>
    <sheet name="Sheet1" sheetId="4" r:id="rId3"/>
    <sheet name="Sheet2" sheetId="2" r:id="rId4"/>
  </sheets>
  <definedNames>
    <definedName name="_xlnm._FilterDatabase" localSheetId="0" hidden="1">Tenders!$A$1:$AA$59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4" l="1"/>
  <c r="G14" i="2"/>
  <c r="G17" i="2" l="1"/>
  <c r="G18" i="2"/>
  <c r="G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1" authorId="0" shapeId="0" xr:uid="{67BC29A4-FA72-40D4-85A3-E465399A5739}">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<sst xmlns="http://schemas.openxmlformats.org/spreadsheetml/2006/main" count="641" uniqueCount="395">
  <si>
    <t>Sr. No</t>
  </si>
  <si>
    <t>Organization</t>
  </si>
  <si>
    <t>City</t>
  </si>
  <si>
    <t>A/c owner</t>
  </si>
  <si>
    <t xml:space="preserve">Tender Details </t>
  </si>
  <si>
    <t xml:space="preserve">Candidate volumes </t>
  </si>
  <si>
    <t>Contract period (Years)</t>
  </si>
  <si>
    <t>Pre Bid meeting date</t>
  </si>
  <si>
    <t>Last date of Pre bid query submission</t>
  </si>
  <si>
    <t>Last Date of Bid Submission</t>
  </si>
  <si>
    <t xml:space="preserve">Tech Opening </t>
  </si>
  <si>
    <t>Tech Presentation</t>
  </si>
  <si>
    <t>Venue visit</t>
  </si>
  <si>
    <t xml:space="preserve">Commercial Opening </t>
  </si>
  <si>
    <t>QCBS</t>
  </si>
  <si>
    <t>MSME Pref</t>
  </si>
  <si>
    <t xml:space="preserve">Tender Fees </t>
  </si>
  <si>
    <t>EMD</t>
  </si>
  <si>
    <t>Status</t>
  </si>
  <si>
    <t xml:space="preserve">Remarks </t>
  </si>
  <si>
    <t xml:space="preserve">Tender Concerns </t>
  </si>
  <si>
    <t>PO received</t>
  </si>
  <si>
    <t>Agreement signed  (Y/N)</t>
  </si>
  <si>
    <t>PBG %</t>
  </si>
  <si>
    <t>Rajan remarks</t>
  </si>
  <si>
    <t>Chintan remark</t>
  </si>
  <si>
    <t>Paresh Remark</t>
  </si>
  <si>
    <t>JIPMER</t>
  </si>
  <si>
    <t>Pondicherry</t>
  </si>
  <si>
    <t>Anbarasu</t>
  </si>
  <si>
    <t>conduct of online computer-based tests (CBT) for recruitment of various posts and admissions to various academic courses of JIPMER, Puducherry
for a period of TWO Years</t>
  </si>
  <si>
    <t>10000-20000</t>
  </si>
  <si>
    <t>2+1</t>
  </si>
  <si>
    <t>16th Feb 2026</t>
  </si>
  <si>
    <t>QCBS 70:30</t>
  </si>
  <si>
    <t>client kept this on hold</t>
  </si>
  <si>
    <t>IIBF</t>
  </si>
  <si>
    <t>Mumbai</t>
  </si>
  <si>
    <t>Ashish</t>
  </si>
  <si>
    <t>Request for Proposal (RFP) to Select a Service Provider/s to conduct online Examinations of the Institute across India</t>
  </si>
  <si>
    <t>5+2</t>
  </si>
  <si>
    <t>22nd Jan 2026</t>
  </si>
  <si>
    <t>L1</t>
  </si>
  <si>
    <t>Submitted</t>
  </si>
  <si>
    <t>Tender cancelled</t>
  </si>
  <si>
    <t>SSC</t>
  </si>
  <si>
    <t>Delhi</t>
  </si>
  <si>
    <t>Prashant</t>
  </si>
  <si>
    <t>EOI -Exploring Technologies to Conduct Examinations in Digital Mode</t>
  </si>
  <si>
    <t>17th March 2026</t>
  </si>
  <si>
    <t>submitted</t>
  </si>
  <si>
    <t>DGT</t>
  </si>
  <si>
    <t>Vineet</t>
  </si>
  <si>
    <t>EOI -Selection of Service Provider to Conduct End-to-End Computer Based Test
and Engineering Drawing Examination for various schemes of
Directorate General of Training</t>
  </si>
  <si>
    <t>14 lakhs exams</t>
  </si>
  <si>
    <t>30th April 2026</t>
  </si>
  <si>
    <t xml:space="preserve">submitted </t>
  </si>
  <si>
    <t>Odisha Univ of Agriculture</t>
  </si>
  <si>
    <t>Bhubaneshwar</t>
  </si>
  <si>
    <t>Deepak</t>
  </si>
  <si>
    <t>RPF for conduct of Entrance Exam</t>
  </si>
  <si>
    <t>40000 + 1500</t>
  </si>
  <si>
    <t>25th March 2026</t>
  </si>
  <si>
    <t>EDCIL</t>
  </si>
  <si>
    <t>Budgetary quote for Tablet Exam</t>
  </si>
  <si>
    <t>1st April 2026</t>
  </si>
  <si>
    <t>Technology Development Board (TDB) with</t>
  </si>
  <si>
    <t xml:space="preserve"> Conduct of COMPUTER BASED TEST) FOR WISE-IPR (2026)</t>
  </si>
  <si>
    <t>2000-5000</t>
  </si>
  <si>
    <t>13th April 26</t>
  </si>
  <si>
    <t>27th April 2026</t>
  </si>
  <si>
    <t>7th May 2026</t>
  </si>
  <si>
    <t>12th May 2026</t>
  </si>
  <si>
    <t>Central Univ of HP</t>
  </si>
  <si>
    <t>Dharamshala,</t>
  </si>
  <si>
    <t>RFP) FOR HIRING OF REMOTE PROCTORING -RP and OSM
EXAMINATION SERVICES FOR CENTRE FOR DISTANCE AND ONLINE EDUCATION,
(CDOE)</t>
  </si>
  <si>
    <t>20000 candidates per exam cycle</t>
  </si>
  <si>
    <t>18th April 2026</t>
  </si>
  <si>
    <t>QCBS | 75: 25</t>
  </si>
  <si>
    <t xml:space="preserve">not submitted </t>
  </si>
  <si>
    <t xml:space="preserve">Not proceeding due to criteria and legal concerns </t>
  </si>
  <si>
    <t>Consortium not  allowed and bidder to own the software</t>
  </si>
  <si>
    <t>Indian Council Of Medical Research (icmr)</t>
  </si>
  <si>
    <t>Conduct of CET for ICMR-NIVCR</t>
  </si>
  <si>
    <t>29th April 2026</t>
  </si>
  <si>
    <t>Yes</t>
  </si>
  <si>
    <t>Queries emailed to client -to attender pre-bid meeting</t>
  </si>
  <si>
    <t xml:space="preserve">MSME clause, small volume </t>
  </si>
  <si>
    <t>Lala Ram Swarup Institute Of Tuberculosis And Respiratory
Diseases</t>
  </si>
  <si>
    <t>Request for Proposal For
Identification of Bidder(s) To conduct
Computer Based Test (CBT) For
National Institute of Tuberculosis &amp; Respiratory Diseases
(NITRD)</t>
  </si>
  <si>
    <t>1+4</t>
  </si>
  <si>
    <t>EMPANELMENT OF AGENCIES IN CONTEXT OF DIGITAL EVALUATION SYSTEM OF ANSWER BOOKS (On Screen Marking) FOR VARIOUS CLIENTS OF EdCIL</t>
  </si>
  <si>
    <t>2+1+1</t>
  </si>
  <si>
    <t>15th April 2026</t>
  </si>
  <si>
    <t>under process</t>
  </si>
  <si>
    <t>MP Open Univ</t>
  </si>
  <si>
    <t>Bhopal</t>
  </si>
  <si>
    <t xml:space="preserve">Online/Digital Evaluation of Answer Scripts </t>
  </si>
  <si>
    <t>21st April 2026</t>
  </si>
  <si>
    <t>QCBS |70:30</t>
  </si>
  <si>
    <t>Awaiting client response - concerns on criteria reg PSU vendor</t>
  </si>
  <si>
    <t>IISC</t>
  </si>
  <si>
    <t xml:space="preserve">Bangalore </t>
  </si>
  <si>
    <t>LMS for Cyber Security</t>
  </si>
  <si>
    <t>10000+</t>
  </si>
  <si>
    <t>not proceeding as CL cannot provide the solution</t>
  </si>
  <si>
    <t>NIOS</t>
  </si>
  <si>
    <t>Noida</t>
  </si>
  <si>
    <t>LMS for Training  on AI</t>
  </si>
  <si>
    <t>Rural health  Training center</t>
  </si>
  <si>
    <t>Conduct of CBT -</t>
  </si>
  <si>
    <t>5 month</t>
  </si>
  <si>
    <t>24th April 2026</t>
  </si>
  <si>
    <t xml:space="preserve">Queries emailed to client </t>
  </si>
  <si>
    <t>Directorate of Teacher Education (TE) &amp; State Council of Educational Research &amp; Training (SCERT), Odisha</t>
  </si>
  <si>
    <t>selection of a Service Provider for conducting Online Computer-Based Test (CBT) examinations for admission into teacher education programmes (D.El.Ed).</t>
  </si>
  <si>
    <t>2 years</t>
  </si>
  <si>
    <t>23rd April 26</t>
  </si>
  <si>
    <t>6th May 2026</t>
  </si>
  <si>
    <t>NIELIT</t>
  </si>
  <si>
    <t>Conduct of exam using NIELIT Software</t>
  </si>
  <si>
    <t>150000+</t>
  </si>
  <si>
    <t>1+1</t>
  </si>
  <si>
    <t>Profitable clause - last 3 years</t>
  </si>
  <si>
    <t>South Central Railway</t>
  </si>
  <si>
    <t xml:space="preserve">Tender getting cancelled </t>
  </si>
  <si>
    <t>Digital Univ Kerela</t>
  </si>
  <si>
    <t>Thiruvananthapuram</t>
  </si>
  <si>
    <t>RFP FOR CONDUCTING
AI AND HUMAN PROCTORED ONLINE TESTS
FOR
DUAT AND DRAT ENTRANCE TEST OF DUK</t>
  </si>
  <si>
    <t>28th April 2026</t>
  </si>
  <si>
    <t>not submitted</t>
  </si>
  <si>
    <t>Consortium not allowed</t>
  </si>
  <si>
    <t>Empanelment of Service Providers for conduct of Tablet Based Digital OMR Test
For Various Clients of EdCIL</t>
  </si>
  <si>
    <t>MP board of secondary education</t>
  </si>
  <si>
    <t>Tender for Digital Evaluation System</t>
  </si>
  <si>
    <t>IIFT</t>
  </si>
  <si>
    <t>Tender for Registration Portal and CBT</t>
  </si>
  <si>
    <t>4th April 2026</t>
  </si>
  <si>
    <t>Yes L1+15%</t>
  </si>
  <si>
    <t>clear pref for MSME</t>
  </si>
  <si>
    <t>IIT Madras- NPTEL</t>
  </si>
  <si>
    <t>chennai</t>
  </si>
  <si>
    <t>Price bid for 10th May drive</t>
  </si>
  <si>
    <t xml:space="preserve">2 months </t>
  </si>
  <si>
    <t>1st May 2026</t>
  </si>
  <si>
    <t>DAE- Mumbai</t>
  </si>
  <si>
    <t>tender for end-to-end conduct of Computer-Based Online Examination (CBT) for recruitment of JPA/JSK posts</t>
  </si>
  <si>
    <t>28th May 2026</t>
  </si>
  <si>
    <t>Select a Service Provider to Conduct Hosted model Internet Based Online Examinations of the Institute Across India</t>
  </si>
  <si>
    <t>BARC</t>
  </si>
  <si>
    <t>Tender document for
Bhabha Atomic Research Centre Training School (BARC TS)
All India Computer Based Online Screening Test (CBT) for
recruitment of Engineering Graduates and Science Post
Graduates for OCES/DGFS &amp; induction of Engineering and
Science Post Graduate for DDFS/JRF Academic programme–
2027 and 2028</t>
  </si>
  <si>
    <t>13th May 2026</t>
  </si>
  <si>
    <t>25th May 2026</t>
  </si>
  <si>
    <t>L1+15%</t>
  </si>
  <si>
    <t>IIM Bangalore</t>
  </si>
  <si>
    <t>Request for Proposal for selection of Service Provider to Conduct Computer Based Admission Test (CBAT) for Indian Institute of Management Bangalore</t>
  </si>
  <si>
    <t>8th May 2026</t>
  </si>
  <si>
    <t xml:space="preserve">25th May 2026, 16:30hrs </t>
  </si>
  <si>
    <t xml:space="preserve">Only PSUs can participate </t>
  </si>
  <si>
    <t>Anbarasu V</t>
  </si>
  <si>
    <t>Tender Invited For Sl No 1 Pre Examination Phase Total number of candidates registered , Sl No 2 Examination Phase Total number of Hall tickets released , Sl No 3 Post Examination Phase total number of candidates appeared for exam , Sl No 4 Preparation of Question bank consisting of 100 questions in one set for level 1 , Sl No 5 Preparation of Question bank consisting of 100 questions in one set for level 2 , Sl No 6 Skill test for AG typing test computer literacy test , Sl No 7 Skill test for Stenographer typing test, stenography test and computer literacy test .
Examination Service Examination Service Examination Service Examination Service Examination Service Examination Service Examination Service</t>
  </si>
  <si>
    <t>20th May 2026</t>
  </si>
  <si>
    <t xml:space="preserve">
Directorate General Of Mines Safety Dgms Ministry Of Labour And Employment</t>
  </si>
  <si>
    <t>Dhanbad</t>
  </si>
  <si>
    <t>Vishwajeet Singh</t>
  </si>
  <si>
    <t xml:space="preserve">Tender Invited For Selection of a Service Provider to design, develop, implement, operate, and maintain a secure, scalable, and government-compliant end-to-end comprehensive digital examination and certification platform for DGMS for a period </t>
  </si>
  <si>
    <t>8th June 2026 21:00hrs</t>
  </si>
  <si>
    <t>Bihar Technical Service Commission (BTSC)</t>
  </si>
  <si>
    <t xml:space="preserve">Patna </t>
  </si>
  <si>
    <t>Selection of Agency for Providing Computer Based Examination Services for Bihar Technical Service Commission (btsc).</t>
  </si>
  <si>
    <t xml:space="preserve">19th May 2026, 11:00hrs </t>
  </si>
  <si>
    <t xml:space="preserve">5th June 2026 14:00hrs </t>
  </si>
  <si>
    <t>Directorate Of Purchase And Stores -  Department Of Atomic Energy</t>
  </si>
  <si>
    <t xml:space="preserve">Mumbai </t>
  </si>
  <si>
    <t>Ashish Koul</t>
  </si>
  <si>
    <t>Examination Service - Online; Question Paper Design,
Candidate Registration, Payment Process to be handled by
Service Provider, Provision of Venue, Update Registration,
Question Paper Hosting on Website, Admit Card Proccesing,
Biometric attendance of..</t>
  </si>
  <si>
    <t>28th May 2026,11:00hrs</t>
  </si>
  <si>
    <t>Controller General of Accounts (CGA), Ministry of Finance</t>
  </si>
  <si>
    <t>New Delhi</t>
  </si>
  <si>
    <t>Prashant Sharma</t>
  </si>
  <si>
    <t>Tender for conduct of Computer-Based Test (CBT) examinations for departmental examinations including the Assistant Accounts Officer (Civil) Examination</t>
  </si>
  <si>
    <t xml:space="preserve">26th May 2026,14:00hrs </t>
  </si>
  <si>
    <t>The Assam Agricultural University (AAU)</t>
  </si>
  <si>
    <t xml:space="preserve">Jorhat </t>
  </si>
  <si>
    <t>Vineet Thomas</t>
  </si>
  <si>
    <t>For the conduct of Computer Based Online Entrance Examination - 2026-27</t>
  </si>
  <si>
    <t>Need to check the official website for more information</t>
  </si>
  <si>
    <t>28th May 2026, 16:00hrs</t>
  </si>
  <si>
    <t>2021-22</t>
  </si>
  <si>
    <t>Total Qualified Tenders</t>
  </si>
  <si>
    <t>did not participate</t>
  </si>
  <si>
    <t>Cancelled</t>
  </si>
  <si>
    <t>Under process</t>
  </si>
  <si>
    <t>TOTAL</t>
  </si>
  <si>
    <t>Won</t>
  </si>
  <si>
    <t xml:space="preserve">Disqualified </t>
  </si>
  <si>
    <t>Lost</t>
  </si>
  <si>
    <t>Under evaluation</t>
  </si>
  <si>
    <t>EOI</t>
  </si>
  <si>
    <t>cancelled</t>
  </si>
  <si>
    <t>Conversion %</t>
  </si>
  <si>
    <t>Success %</t>
  </si>
  <si>
    <t xml:space="preserve">27th May, 15:00hrs </t>
  </si>
  <si>
    <t>26th May</t>
  </si>
  <si>
    <t>26th May, 15:00hrs</t>
  </si>
  <si>
    <t>OSM proofs reqd; OSM partner not meeting eligiblilty criteria</t>
  </si>
  <si>
    <t xml:space="preserve">Not mentioned </t>
  </si>
  <si>
    <t>NA</t>
  </si>
  <si>
    <t xml:space="preserve">Tender has been removed from GeM Portal </t>
  </si>
  <si>
    <t xml:space="preserve">9th June 2026, 13:00hrs </t>
  </si>
  <si>
    <t>Arignar Anna Zoological Park (AAZP), Chennai, Tamil Nadu Forest Department</t>
  </si>
  <si>
    <t xml:space="preserve">Chennai </t>
  </si>
  <si>
    <t>Development of an Online Application and Registration System (OARS) for recruitment at Zoo Authority of Tamil Nadu, including candidate registration, application processing, payment gateway integration, admit card generation, helpdesk support, result processing, publication, and MIS reporting</t>
  </si>
  <si>
    <t>Not mentioned</t>
  </si>
  <si>
    <t xml:space="preserve">3 months </t>
  </si>
  <si>
    <t>Indian Coast Guard</t>
  </si>
  <si>
    <t xml:space="preserve">Noida </t>
  </si>
  <si>
    <t>Provision of online examination services including question paper design, candidate registration, payment processing, venue provision, registration management, question paper hosting, and admit card processing. Examination Service - Online, Question Paper Design, Candidate Registration, Payment Process, Provision of Venue, Withdrawal of Registration, Update Registration, Question Paper Hosting, Admit Card Processing</t>
  </si>
  <si>
    <t xml:space="preserve">25th June 2026, 16:00hrs </t>
  </si>
  <si>
    <t>Agricultural Scientists Recruitment Board (ASRB)</t>
  </si>
  <si>
    <t>Tender Invited For Examination Service - Online; Payment Process to be handled by Service Provider, Provision of Venue</t>
  </si>
  <si>
    <t>Kalpakaam</t>
  </si>
  <si>
    <t xml:space="preserve">Lost the Bid </t>
  </si>
  <si>
    <t xml:space="preserve">TCS/Walrus/DEXIT - TCS Won </t>
  </si>
  <si>
    <t xml:space="preserve">Won the bid </t>
  </si>
  <si>
    <t>Empanelment</t>
  </si>
  <si>
    <t xml:space="preserve">DEXIT/ Aptech  - Aptech won </t>
  </si>
  <si>
    <t>WO received</t>
  </si>
  <si>
    <t>Bharatiya Nabhikiya Vidyut Nigam Limited (BHAVINI)</t>
  </si>
  <si>
    <t>awaiting tender</t>
  </si>
  <si>
    <t>Demo date - 30th April 26</t>
  </si>
  <si>
    <t xml:space="preserve">Under Tech Evaluation  </t>
  </si>
  <si>
    <t>Under Tech evaluation (Probable Edutest/Walrus/RD inst/Dexit/Satvat)</t>
  </si>
  <si>
    <t>Under Tech Evaluation</t>
  </si>
  <si>
    <t>17th June 2026</t>
  </si>
  <si>
    <t xml:space="preserve">Got the Tender </t>
  </si>
  <si>
    <t>Participants- Cyberica/TCS/Edutest/ DEXIT 
Lost to TCS</t>
  </si>
  <si>
    <t>Cuttack</t>
  </si>
  <si>
    <t xml:space="preserve"> Acharya Harihar Post Graduate Institute of Cancer </t>
  </si>
  <si>
    <t>Computer based recruitment exam</t>
  </si>
  <si>
    <t>116 posts</t>
  </si>
  <si>
    <t>30th June 2026</t>
  </si>
  <si>
    <t>21st July 2026</t>
  </si>
  <si>
    <t>L1+15%+RA</t>
  </si>
  <si>
    <t>DGMS</t>
  </si>
  <si>
    <t>24th June 2026</t>
  </si>
  <si>
    <t>6th July 2026</t>
  </si>
  <si>
    <t>Tablet based exam</t>
  </si>
  <si>
    <t>prashant</t>
  </si>
  <si>
    <t>Awaiting PO</t>
  </si>
  <si>
    <t>Sr. No.</t>
  </si>
  <si>
    <t xml:space="preserve">Details </t>
  </si>
  <si>
    <t>Number of Tenders since 1st April 26</t>
  </si>
  <si>
    <t>Remarks</t>
  </si>
  <si>
    <t xml:space="preserve">As per Abhay's mail  dated 6th April26 </t>
  </si>
  <si>
    <t>Tender cancelled by Client</t>
  </si>
  <si>
    <t>Consortium Clause for OSM/LMS, PSU Clause (prior to MKCL tie-up)</t>
  </si>
  <si>
    <t>PreSales Target 
(number of Tenders)</t>
  </si>
  <si>
    <t>Empanelled for Limited Tender</t>
  </si>
  <si>
    <t xml:space="preserve">Tenders Qualified and Submitted </t>
  </si>
  <si>
    <t>Target for PreSales  Tenders to be processed in 2026-27</t>
  </si>
  <si>
    <t>Total Number of Tenders Processed by Pre-Sales (Including tender review, preparation of pre-bid queries, corrigendum review, and communication of updates to stakeholders)</t>
  </si>
  <si>
    <t>Tenders we didn’t qualify</t>
  </si>
  <si>
    <t>Empanelment Tenders</t>
  </si>
  <si>
    <t>Tenders currently under process</t>
  </si>
  <si>
    <t xml:space="preserve">Tender Target pending </t>
  </si>
  <si>
    <t>WON =2 (TDB PO awaited)
Lost = 4
Client  cancelled = 1
Under Evaluation =10</t>
  </si>
  <si>
    <t>QCBS (70:30)</t>
  </si>
  <si>
    <t>Directorate of Public Instruction</t>
  </si>
  <si>
    <t>Chattisgarh</t>
  </si>
  <si>
    <t>Selection of Agency for End-to-End Computer Based Recruitment Examination Services</t>
  </si>
  <si>
    <t>1st July 2026</t>
  </si>
  <si>
    <t>Barkutallah univ</t>
  </si>
  <si>
    <t xml:space="preserve">OSM Tender </t>
  </si>
  <si>
    <t>awaiting the tender for shortlisted vendors - TCS/Aptech/ Eduquity /DEXIT shortlisted</t>
  </si>
  <si>
    <t xml:space="preserve">Scope/DEXIT/Edutest - only DEXIT Qualified . </t>
  </si>
  <si>
    <t>Lost on Pricing -Diversified/Nextra/Hubblebox/DEXIT</t>
  </si>
  <si>
    <t>unable to participate due to criteria limitation</t>
  </si>
  <si>
    <t>L1- cut off 70</t>
  </si>
  <si>
    <t>did not submit</t>
  </si>
  <si>
    <t>MHCET</t>
  </si>
  <si>
    <t xml:space="preserve">8th July 2026, 16:00hrs </t>
  </si>
  <si>
    <t>18 lakhs</t>
  </si>
  <si>
    <t>3+2</t>
  </si>
  <si>
    <t>8th July 2026</t>
  </si>
  <si>
    <t xml:space="preserve">1,65,00,000 </t>
  </si>
  <si>
    <t>Selection of an Agency for Conduct of Computer-Based Online Common Entrance Test (CET) and Centralized Admission Process (CAP) for State CET Cell, Maharashtra</t>
  </si>
  <si>
    <t>For Implementation of Computer Based Examination System for Goa Public Service Commission (GPSC)</t>
  </si>
  <si>
    <t>Goa Public Service Commission (GPSC)</t>
  </si>
  <si>
    <t>Goa</t>
  </si>
  <si>
    <t>30th July 2026</t>
  </si>
  <si>
    <t>3000 + 3000</t>
  </si>
  <si>
    <t>RRB</t>
  </si>
  <si>
    <t xml:space="preserve">Pre-bid queries response released </t>
  </si>
  <si>
    <t>Chennai</t>
  </si>
  <si>
    <t>Engaging Exam Conducting Agency(s) to conduct Computer
Based Test and all other related services like processing of
Results and Panel etc. of Railway Recruitment Boards in
connection with recruitment of various posts of 7th CPC Pay
Matrix for various Centralized Employment Notifications (CENs)</t>
  </si>
  <si>
    <t>17th July 2026</t>
  </si>
  <si>
    <t>10th Aug 2026</t>
  </si>
  <si>
    <t>NTPC</t>
  </si>
  <si>
    <t>Chhattisgarh</t>
  </si>
  <si>
    <t>10th July 2026</t>
  </si>
  <si>
    <t>Hiring of Agency for Conduct of Computer Based Test (CBT) for Recruitment of Diploma Engineer Trainees (DET) and ITI Trainees (Backlog Vacancy) for NTPC Khargone, Lara &amp; Gadarwara.</t>
  </si>
  <si>
    <t>UPCAR</t>
  </si>
  <si>
    <t>Selection of Service Provider for Design, Development, Customization, Implementation and Conduct of Computer Based or Offline Examination and related activities for Direct Recruitment of Different Posts in UPCAR, Lucknow.</t>
  </si>
  <si>
    <t>QCBS 80:20</t>
  </si>
  <si>
    <t>Lucknow</t>
  </si>
  <si>
    <t>Vishwajeet</t>
  </si>
  <si>
    <t>17 participants. Demo and Presentation on 27June26
Meta I = L1</t>
  </si>
  <si>
    <t xml:space="preserve">27th July 2026,14:00hrs </t>
  </si>
  <si>
    <t>KEONICS</t>
  </si>
  <si>
    <t>AIIMS</t>
  </si>
  <si>
    <t>Deogarh</t>
  </si>
  <si>
    <t>Exam Suites Digital Tab System for conducting Paperless
Digital Examinations</t>
  </si>
  <si>
    <t>31st July 2026</t>
  </si>
  <si>
    <t>L1+ 15%</t>
  </si>
  <si>
    <t>TNPSC</t>
  </si>
  <si>
    <t>27th July 2026</t>
  </si>
  <si>
    <t>Open Tender for Conducting Computer Based Test (CBT) of Examinations for Departmental and Direct Recruitment Examinations conducted by the Tamil Nadu Public Service Commission (TNPSC), Chennai</t>
  </si>
  <si>
    <t xml:space="preserve">8,69,400 </t>
  </si>
  <si>
    <t>Request for Proposal for Selection of Service Provider for the Design, Development, Testing, Commissioning and Conducting Online Computer Literacy Test (CLT) and Digital Certification System for Government Officials and Staff of Boards and Corporations of Government of Karnataka</t>
  </si>
  <si>
    <t>Anand</t>
  </si>
  <si>
    <t>12th Aug 2026</t>
  </si>
  <si>
    <t>Only PSU or Odisha Govt Empanelled allowed</t>
  </si>
  <si>
    <t>Closed bid</t>
  </si>
  <si>
    <t>Under Tech Evaluation  -
Vensysco / DEXIT - Demo on 22nd July</t>
  </si>
  <si>
    <t>DEXIT/Edutest/Eduquity/ TCS - Edutest disqualified 
Presentation on 19June26. DEXIT was declared H1 and won</t>
  </si>
  <si>
    <t xml:space="preserve">Under Tech Evaluation  8 participants. Technically disqualified </t>
  </si>
  <si>
    <t>Won the Tender
L&amp;T/Sify/DEXIT =</t>
  </si>
  <si>
    <t>Protection of Plant Varieties and Farmers' Rights Authority (PPVFRA), Ministry of Agriculture &amp; Farmers Welfare</t>
  </si>
  <si>
    <t>End-to-end recruitment services for 16 posts including online application, CBT, result processing, and merit list preparation</t>
  </si>
  <si>
    <t>14th Aug 2026</t>
  </si>
  <si>
    <t>Directorate of Technical Education||Govt. Engineering College - DOTE||Government College of
Engineering - Tirunelveli</t>
  </si>
  <si>
    <t>Tirunelveli</t>
  </si>
  <si>
    <t>Supply, implementation, installation, and support of an Examination Management System Software (EMSS) comprising Curriculum Management, Programme Management, Student Data Management, and Controller of Examinations (COE) modules for end-to-end examination and academic administration</t>
  </si>
  <si>
    <t>6th Aug 2026</t>
  </si>
  <si>
    <t xml:space="preserve">Adikavi Sri Maharshi Valmiki University (ASMVU), </t>
  </si>
  <si>
    <t>Raichur</t>
  </si>
  <si>
    <t>End-to-end AI-enabled Digital Evaluation (On-Screen Marking) including answer script scanning &amp; digitization, AI-based live proctoring, online/on-premise evaluation, moderation, re-evaluation, result processing, and managed services.</t>
  </si>
  <si>
    <t xml:space="preserve">3 lakhs script </t>
  </si>
  <si>
    <t>1+3</t>
  </si>
  <si>
    <t>Under Tech Evaluation  Richmind/Satvat/Scope/Aptech/Walrus/Edutest/DEXIT. Tab &amp; Space (Richmind) was L1</t>
  </si>
  <si>
    <t>Open to OEMs from Karnataka</t>
  </si>
  <si>
    <t>CONDUCTING COMPUTER BASED TEST FOR GATE 2027 EXAMINATION</t>
  </si>
  <si>
    <t>IIT Madras- GATE</t>
  </si>
  <si>
    <t>Under Tech Evaluation  8 participants.  Demo on 5th Aug</t>
  </si>
  <si>
    <t>pre bid queries response not changed- tech criteria a concern</t>
  </si>
  <si>
    <t>3rd Aug  2026</t>
  </si>
  <si>
    <t>AWS</t>
  </si>
  <si>
    <t>BSSC</t>
  </si>
  <si>
    <t>20th Aug 2026</t>
  </si>
  <si>
    <t>Selection of an agency to conduct end-to-end CBT examinations for recruitment processes</t>
  </si>
  <si>
    <t>7th Aug 2026</t>
  </si>
  <si>
    <t>28th Aug 2026</t>
  </si>
  <si>
    <t>17th Aug 2026</t>
  </si>
  <si>
    <t>300 tablets</t>
  </si>
  <si>
    <t>during the pre bid meeting client confirmed it’s a purchase order for 300 tablets and AMC for 5 years</t>
  </si>
  <si>
    <t>Client has not changed the PSU status</t>
  </si>
  <si>
    <t>MRB</t>
  </si>
  <si>
    <t>Anbarasa</t>
  </si>
  <si>
    <t>Online tender for selection of a system implementation partner (sip) for end-to-end recruitment services, including online application registration and conduct of computer-based test (cbt) for recruitment of medical and allied health services for government medical institutions in Tamil Nadu for a period of three (3) years.</t>
  </si>
  <si>
    <t>18th Aug 2026</t>
  </si>
  <si>
    <t>QCBS (65:35)</t>
  </si>
  <si>
    <t xml:space="preserve">Conduct of Online Screening Test </t>
  </si>
  <si>
    <t>60000-100000</t>
  </si>
  <si>
    <t>5+3</t>
  </si>
  <si>
    <t>24th Aug 2026</t>
  </si>
  <si>
    <t>1st Sept 2026</t>
  </si>
  <si>
    <t>25th Aug 2026</t>
  </si>
  <si>
    <t>NTPCS</t>
  </si>
  <si>
    <t>Outsourcing of service for RECRUITMENT OF Executives in HR / Law/ O&amp;M</t>
  </si>
  <si>
    <t>6 months</t>
  </si>
  <si>
    <t>21st August 2026</t>
  </si>
  <si>
    <t>Technically disqualified for ISO 22301</t>
  </si>
  <si>
    <t xml:space="preserve">Limited Tender </t>
  </si>
  <si>
    <t>ICAI</t>
  </si>
  <si>
    <t>INTEGRATED EXAMINATION MANAGEMENT PORTAL FOR ICAI</t>
  </si>
  <si>
    <t>9th Sept 2024</t>
  </si>
  <si>
    <t>QCBS (20:80)</t>
  </si>
  <si>
    <t>lumpsum</t>
  </si>
  <si>
    <t>Portal devpt project</t>
  </si>
  <si>
    <t>Prashanr</t>
  </si>
  <si>
    <t xml:space="preserve">Submitted </t>
  </si>
  <si>
    <t xml:space="preserve">Diqualified </t>
  </si>
  <si>
    <t>10 participants</t>
  </si>
  <si>
    <t>Tech presentation completed on 5thAug26, 3 participants -Scope, Vensysco, DEXIT</t>
  </si>
  <si>
    <t xml:space="preserve">Tech presentation completed on 7thAug26, 4 participants -Cyberica, Nysa, Scope and DEXIT. Scope disqualified </t>
  </si>
  <si>
    <t>Selection of Service Provider(s) to Conduct Online Examinations, i.e. Computer Based Test (CBT), of the Institute in Centre-Based Mode Across India</t>
  </si>
  <si>
    <t>12 lakhs</t>
  </si>
  <si>
    <t>5th Sept 2024</t>
  </si>
  <si>
    <t>19th May 2026, 1:00pm</t>
  </si>
  <si>
    <t>22nd April 2026</t>
  </si>
  <si>
    <t>23rd April 2026</t>
  </si>
  <si>
    <t xml:space="preserve">10th June 2026, 11:00hrs </t>
  </si>
  <si>
    <t xml:space="preserve">16th June 2026, 15:00hrs </t>
  </si>
  <si>
    <t>15th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</si>
</sst>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9"/>
      <color theme="1"/>
      <name val="Calibri"/>
      <family val="2"/>
      <scheme val="minor"/>
    </font>
    <font>
      <sz val="9"/>
      <color theme="1"/>
      <name val="Calibri"/>
      <family val="2"/>
      <scheme val="minor"/>
    </font>
    <font>
      <b/>
      <sz val="10"/>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0"/>
      <name val="Calibri"/>
      <family val="2"/>
      <scheme val="minor"/>
    </font>
  </fonts>
  <fills count="13">
    <fill>
      <patternFill patternType="none"/>
    </fill>
    <fill>
      <patternFill patternType="gray125"/>
    </fill>
    <fill>
      <patternFill patternType="solid">
        <fgColor theme="3" tint="0.39997558519241921"/>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0070C0"/>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6"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5" fillId="0" borderId="0" applyFont="0" applyFill="0" applyBorder="0" applyAlignment="0" applyProtection="0"/>
  </cellStyleXfs>
  <cellXfs count="39">
    <xf numFmtId="0" fontId="0" fillId="0" borderId="0" xfId="0"/>
    <xf numFmtId="0" fontId="2" fillId="0" borderId="1" xfId="0" applyFont="1" applyBorder="1" applyAlignment="1">
      <alignment wrapText="1"/>
    </xf>
    <xf numFmtId="0" fontId="2" fillId="0" borderId="1" xfId="0" applyFont="1" applyBorder="1" applyAlignment="1">
      <alignment horizontal="center"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left" vertical="center" wrapText="1"/>
    </xf>
    <xf numFmtId="0" fontId="0" fillId="0" borderId="1" xfId="0" applyBorder="1"/>
    <xf numFmtId="0" fontId="0" fillId="4" borderId="1" xfId="0" applyFill="1" applyBorder="1"/>
    <xf numFmtId="0" fontId="0" fillId="3" borderId="1" xfId="0" applyFill="1" applyBorder="1"/>
    <xf numFmtId="0" fontId="4" fillId="3" borderId="1" xfId="0" applyFont="1" applyFill="1" applyBorder="1"/>
    <xf numFmtId="0" fontId="4" fillId="4" borderId="1" xfId="0" applyFont="1" applyFill="1" applyBorder="1"/>
    <xf numFmtId="0" fontId="0" fillId="0" borderId="1" xfId="0" applyBorder="1" applyAlignment="1">
      <alignment horizontal="center" vertical="center"/>
    </xf>
    <xf numFmtId="0" fontId="0" fillId="4" borderId="2" xfId="0" applyFill="1" applyBorder="1"/>
    <xf numFmtId="0" fontId="0" fillId="4" borderId="0" xfId="0" applyFill="1"/>
    <xf numFmtId="9" fontId="0" fillId="0" borderId="0" xfId="1" applyFont="1"/>
    <xf numFmtId="0" fontId="3" fillId="2" borderId="1" xfId="0" applyFont="1" applyFill="1" applyBorder="1" applyAlignment="1">
      <alignment horizontal="center" wrapText="1"/>
    </xf>
    <xf numFmtId="0" fontId="2"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9" fontId="2" fillId="0" borderId="1" xfId="0" applyNumberFormat="1" applyFont="1" applyBorder="1" applyAlignment="1">
      <alignment horizontal="left" vertical="top" wrapText="1"/>
    </xf>
    <xf numFmtId="3" fontId="2" fillId="0" borderId="1" xfId="0" applyNumberFormat="1" applyFont="1" applyBorder="1" applyAlignment="1">
      <alignment horizontal="left" vertical="top" wrapText="1"/>
    </xf>
    <xf numFmtId="0" fontId="0" fillId="0" borderId="1" xfId="0" applyBorder="1" applyAlignment="1">
      <alignment horizontal="center" wrapText="1"/>
    </xf>
    <xf numFmtId="0" fontId="4" fillId="0" borderId="1" xfId="0" applyFont="1" applyBorder="1" applyAlignment="1">
      <alignment horizontal="center" wrapText="1"/>
    </xf>
    <xf numFmtId="0" fontId="0" fillId="8" borderId="1" xfId="0" applyFill="1" applyBorder="1" applyAlignment="1">
      <alignment horizontal="center" wrapText="1"/>
    </xf>
    <xf numFmtId="0" fontId="0" fillId="3" borderId="1" xfId="0" applyFill="1" applyBorder="1" applyAlignment="1">
      <alignment horizontal="center" wrapText="1"/>
    </xf>
    <xf numFmtId="0" fontId="0" fillId="7" borderId="1" xfId="0" applyFill="1" applyBorder="1" applyAlignment="1">
      <alignment horizontal="center" wrapText="1"/>
    </xf>
    <xf numFmtId="0" fontId="9" fillId="9" borderId="1" xfId="0" applyFont="1" applyFill="1" applyBorder="1" applyAlignment="1">
      <alignment horizontal="center" wrapText="1"/>
    </xf>
    <xf numFmtId="0" fontId="2" fillId="10" borderId="1" xfId="0" applyFont="1" applyFill="1" applyBorder="1" applyAlignment="1">
      <alignment horizontal="left" vertical="top" wrapText="1"/>
    </xf>
    <xf numFmtId="3" fontId="2" fillId="10" borderId="1" xfId="0" applyNumberFormat="1" applyFont="1" applyFill="1" applyBorder="1" applyAlignment="1">
      <alignment horizontal="left" vertical="top" wrapText="1"/>
    </xf>
    <xf numFmtId="0" fontId="2" fillId="11" borderId="1" xfId="0" applyFont="1" applyFill="1" applyBorder="1" applyAlignment="1">
      <alignment horizontal="left" vertical="top" wrapText="1"/>
    </xf>
    <xf numFmtId="0" fontId="2" fillId="12" borderId="1" xfId="0" applyFont="1" applyFill="1" applyBorder="1" applyAlignment="1">
      <alignment horizontal="left" vertical="top" wrapText="1"/>
    </xf>
    <xf numFmtId="9" fontId="2" fillId="12" borderId="1" xfId="0" applyNumberFormat="1" applyFont="1" applyFill="1" applyBorder="1" applyAlignment="1">
      <alignment horizontal="left" vertical="top" wrapText="1"/>
    </xf>
    <xf numFmtId="3" fontId="2" fillId="12" borderId="1" xfId="0" applyNumberFormat="1" applyFont="1" applyFill="1"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59"/>
  <sheetViews>
    <sheetView tabSelected="1" zoomScale="87" zoomScaleNormal="87" workbookViewId="0">
      <pane xSplit="2" ySplit="1" topLeftCell="C2" activePane="bottomRight" state="frozen"/>
      <selection pane="topRight" activeCell="C1" sqref="C1"/>
      <selection pane="bottomLeft" activeCell="A2" sqref="A2"/>
      <selection pane="bottomRight" activeCell="J59" sqref="J59"/>
    </sheetView>
  </sheetViews>
  <sheetFormatPr defaultColWidth="9.1796875" defaultRowHeight="12" x14ac:dyDescent="0.35"/>
  <cols>
    <col min="1" max="1" width="5.08984375" style="19" customWidth="1"/>
    <col min="2" max="2" width="27" style="19" customWidth="1"/>
    <col min="3" max="3" width="12.81640625" style="19" customWidth="1"/>
    <col min="4" max="4" width="12" style="19" customWidth="1"/>
    <col min="5" max="5" width="38.90625" style="19" customWidth="1"/>
    <col min="6" max="6" width="11.36328125" style="19" customWidth="1"/>
    <col min="7" max="7" width="8.54296875" style="19" customWidth="1"/>
    <col min="8" max="8" width="14.90625" style="19" customWidth="1"/>
    <col min="9" max="9" width="10" style="19" customWidth="1"/>
    <col min="10" max="10" width="13.6328125" style="19" customWidth="1"/>
    <col min="11" max="11" width="8.6328125" style="19" hidden="1" customWidth="1"/>
    <col min="12" max="12" width="9" style="19" hidden="1" customWidth="1"/>
    <col min="13" max="13" width="5.1796875" style="19" hidden="1" customWidth="1"/>
    <col min="14" max="14" width="7.81640625" style="19" hidden="1" customWidth="1"/>
    <col min="15" max="15" width="10" style="19" customWidth="1"/>
    <col min="16" max="16" width="8.81640625" style="19" bestFit="1" customWidth="1"/>
    <col min="17" max="17" width="11.81640625" style="19" customWidth="1"/>
    <col min="18" max="18" width="9.81640625" style="19" customWidth="1"/>
    <col min="19" max="19" width="16.08984375" style="19" customWidth="1"/>
    <col min="20" max="20" width="14.90625" style="19" customWidth="1"/>
    <col min="21" max="21" width="27.453125" style="19" customWidth="1"/>
    <col min="22" max="22" width="9" style="19" bestFit="1" customWidth="1"/>
    <col min="23" max="23" width="8.6328125" style="19" bestFit="1" customWidth="1"/>
    <col min="24" max="24" width="5.1796875" style="19" bestFit="1" customWidth="1"/>
    <col min="25" max="25" width="6.453125" style="19" bestFit="1" customWidth="1"/>
    <col min="26" max="27" width="6.1796875" style="19" bestFit="1" customWidth="1"/>
    <col min="28" max="16384" width="9.1796875" style="19"/>
  </cols>
  <sheetData>
    <row r="1" spans="1:27" s="20" customFormat="1" ht="36" x14ac:dyDescent="0.35">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c r="X1" s="20" t="s">
        <v>23</v>
      </c>
      <c r="Y1" s="20" t="s">
        <v>24</v>
      </c>
      <c r="Z1" s="20" t="s">
        <v>25</v>
      </c>
      <c r="AA1" s="20" t="s">
        <v>26</v>
      </c>
    </row>
    <row r="2" spans="1:27" ht="48" x14ac:dyDescent="0.35">
      <c r="A2" s="19">
        <v>1</v>
      </c>
      <c r="B2" s="19" t="s">
        <v>27</v>
      </c>
      <c r="C2" s="19" t="s">
        <v>28</v>
      </c>
      <c r="D2" s="19" t="s">
        <v>29</v>
      </c>
      <c r="E2" s="19" t="s">
        <v>30</v>
      </c>
      <c r="F2" s="19" t="s">
        <v>31</v>
      </c>
      <c r="G2" s="19" t="s">
        <v>32</v>
      </c>
      <c r="J2" s="19" t="s">
        <v>33</v>
      </c>
      <c r="O2" s="19" t="s">
        <v>34</v>
      </c>
      <c r="Q2" s="19">
        <v>1180</v>
      </c>
      <c r="R2" s="19">
        <v>200000</v>
      </c>
      <c r="S2" s="19" t="s">
        <v>125</v>
      </c>
      <c r="T2" s="19" t="s">
        <v>35</v>
      </c>
    </row>
    <row r="3" spans="1:27" ht="36" x14ac:dyDescent="0.35">
      <c r="A3" s="19">
        <v>2</v>
      </c>
      <c r="B3" s="19" t="s">
        <v>36</v>
      </c>
      <c r="C3" s="19" t="s">
        <v>37</v>
      </c>
      <c r="D3" s="19" t="s">
        <v>38</v>
      </c>
      <c r="E3" s="19" t="s">
        <v>39</v>
      </c>
      <c r="G3" s="19" t="s">
        <v>40</v>
      </c>
      <c r="J3" s="19" t="s">
        <v>41</v>
      </c>
      <c r="O3" s="19" t="s">
        <v>42</v>
      </c>
      <c r="Q3" s="19">
        <v>0</v>
      </c>
      <c r="R3" s="19">
        <v>1000000</v>
      </c>
      <c r="S3" s="19" t="s">
        <v>43</v>
      </c>
      <c r="T3" s="19" t="s">
        <v>44</v>
      </c>
    </row>
    <row r="4" spans="1:27" ht="24" x14ac:dyDescent="0.35">
      <c r="A4" s="19">
        <v>3</v>
      </c>
      <c r="B4" s="19" t="s">
        <v>45</v>
      </c>
      <c r="C4" s="19" t="s">
        <v>46</v>
      </c>
      <c r="D4" s="19" t="s">
        <v>47</v>
      </c>
      <c r="E4" s="19" t="s">
        <v>48</v>
      </c>
      <c r="J4" s="19" t="s">
        <v>49</v>
      </c>
      <c r="Q4" s="19">
        <v>0</v>
      </c>
      <c r="R4" s="19">
        <v>0</v>
      </c>
      <c r="S4" s="19" t="s">
        <v>50</v>
      </c>
      <c r="T4" s="19" t="s">
        <v>230</v>
      </c>
      <c r="U4" s="19" t="s">
        <v>229</v>
      </c>
    </row>
    <row r="5" spans="1:27" ht="60" x14ac:dyDescent="0.35">
      <c r="A5" s="19">
        <v>4</v>
      </c>
      <c r="B5" s="19" t="s">
        <v>51</v>
      </c>
      <c r="C5" s="19" t="s">
        <v>46</v>
      </c>
      <c r="D5" s="19" t="s">
        <v>52</v>
      </c>
      <c r="E5" s="19" t="s">
        <v>53</v>
      </c>
      <c r="F5" s="19" t="s">
        <v>54</v>
      </c>
      <c r="J5" s="19" t="s">
        <v>55</v>
      </c>
      <c r="Q5" s="19">
        <v>0</v>
      </c>
      <c r="R5" s="19">
        <v>0</v>
      </c>
      <c r="S5" s="19" t="s">
        <v>43</v>
      </c>
      <c r="T5" s="19" t="s">
        <v>56</v>
      </c>
      <c r="U5" s="19" t="s">
        <v>274</v>
      </c>
    </row>
    <row r="6" spans="1:27" s="31" customFormat="1" x14ac:dyDescent="0.35">
      <c r="A6" s="31">
        <v>5</v>
      </c>
      <c r="B6" s="31" t="s">
        <v>57</v>
      </c>
      <c r="C6" s="31" t="s">
        <v>58</v>
      </c>
      <c r="D6" s="31" t="s">
        <v>59</v>
      </c>
      <c r="E6" s="31" t="s">
        <v>60</v>
      </c>
      <c r="F6" s="31" t="s">
        <v>61</v>
      </c>
      <c r="G6" s="31">
        <v>3</v>
      </c>
      <c r="J6" s="31" t="s">
        <v>62</v>
      </c>
      <c r="O6" s="31" t="s">
        <v>34</v>
      </c>
      <c r="Q6" s="31">
        <v>5000</v>
      </c>
      <c r="R6" s="31">
        <v>500000</v>
      </c>
      <c r="S6" s="31" t="s">
        <v>43</v>
      </c>
      <c r="T6" s="31" t="s">
        <v>222</v>
      </c>
      <c r="U6" s="31" t="s">
        <v>223</v>
      </c>
    </row>
    <row r="7" spans="1:27" x14ac:dyDescent="0.35">
      <c r="A7" s="19">
        <v>6</v>
      </c>
      <c r="B7" s="19" t="s">
        <v>63</v>
      </c>
      <c r="C7" s="19" t="s">
        <v>46</v>
      </c>
      <c r="D7" s="19" t="s">
        <v>47</v>
      </c>
      <c r="E7" s="19" t="s">
        <v>64</v>
      </c>
      <c r="F7" s="19">
        <v>200000</v>
      </c>
      <c r="G7" s="19">
        <v>2</v>
      </c>
      <c r="J7" s="19" t="s">
        <v>65</v>
      </c>
      <c r="Q7" s="19">
        <v>0</v>
      </c>
      <c r="R7" s="19">
        <v>0</v>
      </c>
      <c r="S7" s="19" t="s">
        <v>225</v>
      </c>
      <c r="T7" s="19" t="s">
        <v>235</v>
      </c>
    </row>
    <row r="8" spans="1:27" s="33" customFormat="1" ht="24" x14ac:dyDescent="0.35">
      <c r="A8" s="33">
        <v>7</v>
      </c>
      <c r="B8" s="33" t="s">
        <v>66</v>
      </c>
      <c r="C8" s="33" t="s">
        <v>46</v>
      </c>
      <c r="D8" s="33" t="s">
        <v>47</v>
      </c>
      <c r="E8" s="33" t="s">
        <v>67</v>
      </c>
      <c r="F8" s="33" t="s">
        <v>68</v>
      </c>
      <c r="G8" s="33">
        <v>3</v>
      </c>
      <c r="H8" s="33" t="s">
        <v>69</v>
      </c>
      <c r="J8" s="33" t="s">
        <v>70</v>
      </c>
      <c r="L8" s="33" t="s">
        <v>71</v>
      </c>
      <c r="N8" s="33" t="s">
        <v>72</v>
      </c>
      <c r="O8" s="33" t="s">
        <v>42</v>
      </c>
      <c r="Q8" s="33">
        <v>0</v>
      </c>
      <c r="R8" s="33">
        <v>50000</v>
      </c>
      <c r="S8" s="33" t="s">
        <v>43</v>
      </c>
      <c r="T8" s="33" t="s">
        <v>249</v>
      </c>
      <c r="U8" s="33" t="s">
        <v>275</v>
      </c>
    </row>
    <row r="9" spans="1:27" ht="60" x14ac:dyDescent="0.35">
      <c r="A9" s="19">
        <v>8</v>
      </c>
      <c r="B9" s="19" t="s">
        <v>73</v>
      </c>
      <c r="C9" s="19" t="s">
        <v>74</v>
      </c>
      <c r="D9" s="19" t="s">
        <v>47</v>
      </c>
      <c r="E9" s="19" t="s">
        <v>75</v>
      </c>
      <c r="F9" s="19" t="s">
        <v>76</v>
      </c>
      <c r="G9" s="19">
        <v>3</v>
      </c>
      <c r="J9" s="19" t="s">
        <v>77</v>
      </c>
      <c r="O9" s="19" t="s">
        <v>78</v>
      </c>
      <c r="Q9" s="19">
        <v>590</v>
      </c>
      <c r="R9" s="19">
        <v>50000</v>
      </c>
      <c r="S9" s="19" t="s">
        <v>79</v>
      </c>
      <c r="T9" s="19" t="s">
        <v>80</v>
      </c>
      <c r="U9" s="19" t="s">
        <v>81</v>
      </c>
      <c r="X9" s="23">
        <v>0.05</v>
      </c>
    </row>
    <row r="10" spans="1:27" ht="36" x14ac:dyDescent="0.35">
      <c r="A10" s="19">
        <v>9</v>
      </c>
      <c r="B10" s="19" t="s">
        <v>82</v>
      </c>
      <c r="C10" s="19" t="s">
        <v>28</v>
      </c>
      <c r="D10" s="19" t="s">
        <v>29</v>
      </c>
      <c r="E10" s="19" t="s">
        <v>83</v>
      </c>
      <c r="F10" s="19">
        <v>350</v>
      </c>
      <c r="G10" s="19">
        <v>1</v>
      </c>
      <c r="J10" s="19" t="s">
        <v>84</v>
      </c>
      <c r="O10" s="19" t="s">
        <v>42</v>
      </c>
      <c r="P10" s="19" t="s">
        <v>85</v>
      </c>
      <c r="Q10" s="19">
        <v>0</v>
      </c>
      <c r="R10" s="19">
        <v>0</v>
      </c>
      <c r="S10" s="19" t="s">
        <v>79</v>
      </c>
      <c r="T10" s="19" t="s">
        <v>86</v>
      </c>
      <c r="U10" s="19" t="s">
        <v>87</v>
      </c>
    </row>
    <row r="11" spans="1:27" s="34" customFormat="1" ht="42.5" customHeight="1" x14ac:dyDescent="0.35">
      <c r="A11" s="34">
        <v>10</v>
      </c>
      <c r="B11" s="34" t="s">
        <v>88</v>
      </c>
      <c r="C11" s="34" t="s">
        <v>46</v>
      </c>
      <c r="D11" s="34" t="s">
        <v>47</v>
      </c>
      <c r="E11" s="34" t="s">
        <v>89</v>
      </c>
      <c r="F11" s="34">
        <v>500</v>
      </c>
      <c r="G11" s="34" t="s">
        <v>90</v>
      </c>
      <c r="J11" s="34" t="s">
        <v>70</v>
      </c>
      <c r="O11" s="34" t="s">
        <v>14</v>
      </c>
      <c r="Q11" s="34">
        <v>0</v>
      </c>
      <c r="R11" s="34">
        <v>150000</v>
      </c>
      <c r="S11" s="34" t="s">
        <v>43</v>
      </c>
      <c r="T11" s="34" t="s">
        <v>43</v>
      </c>
      <c r="U11" s="34" t="s">
        <v>231</v>
      </c>
      <c r="X11" s="35">
        <v>0.05</v>
      </c>
    </row>
    <row r="12" spans="1:27" ht="36" x14ac:dyDescent="0.35">
      <c r="A12" s="19">
        <v>11</v>
      </c>
      <c r="B12" s="19" t="s">
        <v>63</v>
      </c>
      <c r="C12" s="19" t="s">
        <v>46</v>
      </c>
      <c r="D12" s="19" t="s">
        <v>47</v>
      </c>
      <c r="E12" s="19" t="s">
        <v>91</v>
      </c>
      <c r="F12" s="19">
        <v>2000000</v>
      </c>
      <c r="G12" s="19" t="s">
        <v>92</v>
      </c>
      <c r="H12" s="19" t="s">
        <v>93</v>
      </c>
      <c r="J12" s="19" t="s">
        <v>389</v>
      </c>
      <c r="O12" s="19" t="s">
        <v>42</v>
      </c>
      <c r="R12" s="19">
        <v>650000</v>
      </c>
      <c r="S12" s="19" t="s">
        <v>79</v>
      </c>
      <c r="T12" s="19" t="s">
        <v>130</v>
      </c>
      <c r="U12" s="19" t="s">
        <v>205</v>
      </c>
      <c r="X12" s="23">
        <v>0.05</v>
      </c>
    </row>
    <row r="13" spans="1:27" ht="24" x14ac:dyDescent="0.35">
      <c r="A13" s="19">
        <v>12</v>
      </c>
      <c r="B13" s="19" t="s">
        <v>95</v>
      </c>
      <c r="C13" s="19" t="s">
        <v>96</v>
      </c>
      <c r="D13" s="19" t="s">
        <v>59</v>
      </c>
      <c r="E13" s="19" t="s">
        <v>97</v>
      </c>
      <c r="G13" s="19">
        <v>3</v>
      </c>
      <c r="H13" s="19" t="s">
        <v>98</v>
      </c>
      <c r="J13" s="19" t="s">
        <v>55</v>
      </c>
      <c r="O13" s="19" t="s">
        <v>99</v>
      </c>
      <c r="Q13" s="19">
        <v>5000</v>
      </c>
      <c r="S13" s="19" t="s">
        <v>79</v>
      </c>
      <c r="T13" s="19" t="s">
        <v>94</v>
      </c>
      <c r="U13" s="19" t="s">
        <v>100</v>
      </c>
    </row>
    <row r="14" spans="1:27" ht="36" x14ac:dyDescent="0.35">
      <c r="A14" s="19">
        <v>13</v>
      </c>
      <c r="B14" s="19" t="s">
        <v>101</v>
      </c>
      <c r="C14" s="19" t="s">
        <v>102</v>
      </c>
      <c r="D14" s="19" t="s">
        <v>29</v>
      </c>
      <c r="E14" s="19" t="s">
        <v>103</v>
      </c>
      <c r="F14" s="19" t="s">
        <v>104</v>
      </c>
      <c r="G14" s="19">
        <v>1</v>
      </c>
      <c r="J14" s="19" t="s">
        <v>390</v>
      </c>
      <c r="Q14" s="19">
        <v>0</v>
      </c>
      <c r="R14" s="19">
        <v>0</v>
      </c>
      <c r="S14" s="19" t="s">
        <v>79</v>
      </c>
      <c r="T14" s="19" t="s">
        <v>105</v>
      </c>
      <c r="U14" s="19" t="s">
        <v>105</v>
      </c>
    </row>
    <row r="15" spans="1:27" ht="36" x14ac:dyDescent="0.35">
      <c r="A15" s="19">
        <v>14</v>
      </c>
      <c r="B15" s="19" t="s">
        <v>106</v>
      </c>
      <c r="C15" s="19" t="s">
        <v>107</v>
      </c>
      <c r="D15" s="19" t="s">
        <v>47</v>
      </c>
      <c r="E15" s="19" t="s">
        <v>108</v>
      </c>
      <c r="G15" s="19">
        <v>5</v>
      </c>
      <c r="J15" s="19" t="s">
        <v>391</v>
      </c>
      <c r="R15" s="19">
        <v>1000000</v>
      </c>
      <c r="S15" s="19" t="s">
        <v>79</v>
      </c>
      <c r="T15" s="19" t="s">
        <v>105</v>
      </c>
      <c r="U15" s="19" t="s">
        <v>105</v>
      </c>
    </row>
    <row r="16" spans="1:27" ht="24" x14ac:dyDescent="0.35">
      <c r="A16" s="19">
        <v>15</v>
      </c>
      <c r="B16" s="19" t="s">
        <v>109</v>
      </c>
      <c r="C16" s="19" t="s">
        <v>46</v>
      </c>
      <c r="D16" s="19" t="s">
        <v>47</v>
      </c>
      <c r="E16" s="19" t="s">
        <v>110</v>
      </c>
      <c r="F16" s="19">
        <v>1200</v>
      </c>
      <c r="G16" s="19" t="s">
        <v>111</v>
      </c>
      <c r="J16" s="19" t="s">
        <v>112</v>
      </c>
      <c r="Q16" s="19">
        <v>0</v>
      </c>
      <c r="R16" s="19">
        <v>0</v>
      </c>
      <c r="S16" s="19" t="s">
        <v>79</v>
      </c>
      <c r="T16" s="19" t="s">
        <v>113</v>
      </c>
      <c r="U16" s="19" t="s">
        <v>87</v>
      </c>
    </row>
    <row r="17" spans="1:21" s="31" customFormat="1" ht="36" x14ac:dyDescent="0.35">
      <c r="A17" s="31">
        <v>16</v>
      </c>
      <c r="B17" s="31" t="s">
        <v>114</v>
      </c>
      <c r="C17" s="31" t="s">
        <v>58</v>
      </c>
      <c r="D17" s="31" t="s">
        <v>59</v>
      </c>
      <c r="E17" s="31" t="s">
        <v>115</v>
      </c>
      <c r="F17" s="31">
        <v>120000</v>
      </c>
      <c r="G17" s="31" t="s">
        <v>116</v>
      </c>
      <c r="H17" s="31" t="s">
        <v>117</v>
      </c>
      <c r="J17" s="31" t="s">
        <v>118</v>
      </c>
      <c r="Q17" s="31">
        <v>5600</v>
      </c>
      <c r="R17" s="31">
        <v>600000</v>
      </c>
      <c r="S17" s="31" t="s">
        <v>43</v>
      </c>
      <c r="T17" s="31" t="s">
        <v>222</v>
      </c>
      <c r="U17" s="31" t="s">
        <v>226</v>
      </c>
    </row>
    <row r="18" spans="1:21" s="21" customFormat="1" ht="11.5" customHeight="1" x14ac:dyDescent="0.35">
      <c r="A18" s="21">
        <v>17</v>
      </c>
      <c r="B18" s="21" t="s">
        <v>119</v>
      </c>
      <c r="C18" s="21" t="s">
        <v>46</v>
      </c>
      <c r="D18" s="21" t="s">
        <v>47</v>
      </c>
      <c r="E18" s="21" t="s">
        <v>120</v>
      </c>
      <c r="F18" s="21" t="s">
        <v>121</v>
      </c>
      <c r="G18" s="21" t="s">
        <v>122</v>
      </c>
      <c r="H18" s="21" t="s">
        <v>117</v>
      </c>
      <c r="J18" s="21" t="s">
        <v>72</v>
      </c>
      <c r="R18" s="21">
        <v>1433700</v>
      </c>
      <c r="S18" s="21" t="s">
        <v>79</v>
      </c>
      <c r="T18" s="21" t="s">
        <v>130</v>
      </c>
      <c r="U18" s="21" t="s">
        <v>123</v>
      </c>
    </row>
    <row r="19" spans="1:21" ht="24" x14ac:dyDescent="0.35">
      <c r="A19" s="19">
        <v>18</v>
      </c>
      <c r="B19" s="19" t="s">
        <v>124</v>
      </c>
      <c r="E19" s="19" t="s">
        <v>110</v>
      </c>
      <c r="S19" s="19" t="s">
        <v>125</v>
      </c>
      <c r="T19" s="19" t="s">
        <v>44</v>
      </c>
    </row>
    <row r="20" spans="1:21" ht="46" customHeight="1" x14ac:dyDescent="0.35">
      <c r="A20" s="19">
        <v>19</v>
      </c>
      <c r="B20" s="19" t="s">
        <v>126</v>
      </c>
      <c r="C20" s="19" t="s">
        <v>127</v>
      </c>
      <c r="D20" s="19" t="s">
        <v>29</v>
      </c>
      <c r="E20" s="19" t="s">
        <v>128</v>
      </c>
      <c r="F20" s="19">
        <v>500</v>
      </c>
      <c r="G20" s="19">
        <v>1</v>
      </c>
      <c r="H20" s="19" t="s">
        <v>129</v>
      </c>
      <c r="J20" s="19" t="s">
        <v>71</v>
      </c>
      <c r="Q20" s="19">
        <v>710</v>
      </c>
      <c r="R20" s="19">
        <v>3000</v>
      </c>
      <c r="S20" s="19" t="s">
        <v>79</v>
      </c>
      <c r="T20" s="19" t="s">
        <v>130</v>
      </c>
      <c r="U20" s="19" t="s">
        <v>131</v>
      </c>
    </row>
    <row r="21" spans="1:21" s="34" customFormat="1" ht="33" customHeight="1" x14ac:dyDescent="0.35">
      <c r="A21" s="34">
        <v>20</v>
      </c>
      <c r="B21" s="34" t="s">
        <v>63</v>
      </c>
      <c r="C21" s="34" t="s">
        <v>46</v>
      </c>
      <c r="D21" s="34" t="s">
        <v>47</v>
      </c>
      <c r="E21" s="34" t="s">
        <v>132</v>
      </c>
      <c r="F21" s="34">
        <v>200000</v>
      </c>
      <c r="G21" s="34" t="s">
        <v>92</v>
      </c>
      <c r="H21" s="34" t="s">
        <v>70</v>
      </c>
      <c r="J21" s="34" t="s">
        <v>389</v>
      </c>
      <c r="K21" s="34" t="s">
        <v>204</v>
      </c>
      <c r="O21" s="34" t="s">
        <v>14</v>
      </c>
      <c r="Q21" s="34">
        <v>8000000</v>
      </c>
      <c r="S21" s="34" t="s">
        <v>43</v>
      </c>
      <c r="T21" s="34" t="s">
        <v>43</v>
      </c>
      <c r="U21" s="34" t="s">
        <v>324</v>
      </c>
    </row>
    <row r="22" spans="1:21" ht="50.5" customHeight="1" x14ac:dyDescent="0.35">
      <c r="A22" s="19">
        <v>21</v>
      </c>
      <c r="B22" s="19" t="s">
        <v>133</v>
      </c>
      <c r="C22" s="19" t="s">
        <v>96</v>
      </c>
      <c r="D22" s="19" t="s">
        <v>38</v>
      </c>
      <c r="E22" s="19" t="s">
        <v>134</v>
      </c>
      <c r="G22" s="19">
        <v>3</v>
      </c>
      <c r="J22" s="19" t="s">
        <v>72</v>
      </c>
      <c r="Q22" s="19">
        <v>50000</v>
      </c>
      <c r="R22" s="19">
        <v>800000</v>
      </c>
      <c r="S22" s="19" t="s">
        <v>79</v>
      </c>
      <c r="T22" s="19" t="s">
        <v>130</v>
      </c>
      <c r="U22" s="19" t="s">
        <v>205</v>
      </c>
    </row>
    <row r="23" spans="1:21" x14ac:dyDescent="0.35">
      <c r="A23" s="19">
        <v>22</v>
      </c>
      <c r="B23" s="19" t="s">
        <v>135</v>
      </c>
      <c r="C23" s="19" t="s">
        <v>46</v>
      </c>
      <c r="D23" s="19" t="s">
        <v>38</v>
      </c>
      <c r="E23" s="19" t="s">
        <v>136</v>
      </c>
      <c r="F23" s="19">
        <v>1000</v>
      </c>
      <c r="G23" s="19">
        <v>1</v>
      </c>
      <c r="J23" s="19" t="s">
        <v>137</v>
      </c>
      <c r="P23" s="19" t="s">
        <v>138</v>
      </c>
      <c r="R23" s="19">
        <v>16000</v>
      </c>
      <c r="S23" s="19" t="s">
        <v>79</v>
      </c>
      <c r="T23" s="19" t="s">
        <v>130</v>
      </c>
      <c r="U23" s="19" t="s">
        <v>139</v>
      </c>
    </row>
    <row r="24" spans="1:21" s="33" customFormat="1" x14ac:dyDescent="0.35">
      <c r="A24" s="33">
        <v>23</v>
      </c>
      <c r="B24" s="33" t="s">
        <v>140</v>
      </c>
      <c r="C24" s="33" t="s">
        <v>141</v>
      </c>
      <c r="D24" s="33" t="s">
        <v>29</v>
      </c>
      <c r="E24" s="33" t="s">
        <v>142</v>
      </c>
      <c r="F24" s="33">
        <v>8800</v>
      </c>
      <c r="G24" s="33" t="s">
        <v>143</v>
      </c>
      <c r="J24" s="33" t="s">
        <v>144</v>
      </c>
      <c r="R24" s="33">
        <v>200000</v>
      </c>
      <c r="S24" s="33" t="s">
        <v>43</v>
      </c>
      <c r="T24" s="33" t="s">
        <v>224</v>
      </c>
      <c r="U24" s="33" t="s">
        <v>227</v>
      </c>
    </row>
    <row r="25" spans="1:21" ht="36" x14ac:dyDescent="0.35">
      <c r="A25" s="19">
        <v>24</v>
      </c>
      <c r="B25" s="19" t="s">
        <v>145</v>
      </c>
      <c r="C25" s="19" t="s">
        <v>37</v>
      </c>
      <c r="D25" s="19" t="s">
        <v>38</v>
      </c>
      <c r="E25" s="19" t="s">
        <v>146</v>
      </c>
      <c r="F25" s="19">
        <v>50000</v>
      </c>
      <c r="G25" s="19">
        <v>3</v>
      </c>
      <c r="J25" s="19" t="s">
        <v>147</v>
      </c>
      <c r="R25" s="19">
        <v>1000000</v>
      </c>
      <c r="S25" s="19" t="s">
        <v>125</v>
      </c>
      <c r="T25" s="19" t="s">
        <v>44</v>
      </c>
    </row>
    <row r="26" spans="1:21" s="33" customFormat="1" ht="27" customHeight="1" x14ac:dyDescent="0.35">
      <c r="A26" s="33">
        <v>25</v>
      </c>
      <c r="B26" s="33" t="s">
        <v>36</v>
      </c>
      <c r="C26" s="33" t="s">
        <v>37</v>
      </c>
      <c r="D26" s="33" t="s">
        <v>38</v>
      </c>
      <c r="E26" s="33" t="s">
        <v>148</v>
      </c>
      <c r="F26" s="33">
        <v>150000</v>
      </c>
      <c r="G26" s="33">
        <v>5</v>
      </c>
      <c r="H26" s="33" t="s">
        <v>151</v>
      </c>
      <c r="J26" s="33" t="s">
        <v>147</v>
      </c>
      <c r="R26" s="33">
        <v>1000000</v>
      </c>
      <c r="S26" s="33" t="s">
        <v>43</v>
      </c>
      <c r="T26" s="33" t="s">
        <v>224</v>
      </c>
      <c r="U26" s="33" t="s">
        <v>327</v>
      </c>
    </row>
    <row r="27" spans="1:21" s="31" customFormat="1" ht="56.4" customHeight="1" x14ac:dyDescent="0.35">
      <c r="A27" s="31">
        <v>26</v>
      </c>
      <c r="B27" s="31" t="s">
        <v>149</v>
      </c>
      <c r="C27" s="31" t="s">
        <v>37</v>
      </c>
      <c r="D27" s="31" t="s">
        <v>38</v>
      </c>
      <c r="E27" s="31" t="s">
        <v>150</v>
      </c>
      <c r="F27" s="31">
        <v>100000</v>
      </c>
      <c r="G27" s="31">
        <v>2</v>
      </c>
      <c r="H27" s="31" t="s">
        <v>151</v>
      </c>
      <c r="J27" s="31" t="s">
        <v>152</v>
      </c>
      <c r="O27" s="31" t="s">
        <v>42</v>
      </c>
      <c r="P27" s="31" t="s">
        <v>153</v>
      </c>
      <c r="Q27" s="31">
        <v>0</v>
      </c>
      <c r="R27" s="31">
        <v>1300000</v>
      </c>
      <c r="S27" s="31" t="s">
        <v>43</v>
      </c>
      <c r="T27" s="31" t="s">
        <v>222</v>
      </c>
      <c r="U27" s="31" t="s">
        <v>340</v>
      </c>
    </row>
    <row r="28" spans="1:21" s="31" customFormat="1" ht="46.75" customHeight="1" x14ac:dyDescent="0.35">
      <c r="A28" s="31">
        <v>27</v>
      </c>
      <c r="B28" s="31" t="s">
        <v>154</v>
      </c>
      <c r="C28" s="31" t="s">
        <v>102</v>
      </c>
      <c r="D28" s="31" t="s">
        <v>29</v>
      </c>
      <c r="E28" s="31" t="s">
        <v>155</v>
      </c>
      <c r="F28" s="31">
        <v>12000</v>
      </c>
      <c r="H28" s="31" t="s">
        <v>156</v>
      </c>
      <c r="J28" s="31" t="s">
        <v>157</v>
      </c>
      <c r="K28" s="31" t="s">
        <v>203</v>
      </c>
      <c r="O28" s="31" t="s">
        <v>14</v>
      </c>
      <c r="R28" s="31">
        <v>200000</v>
      </c>
      <c r="S28" s="31" t="s">
        <v>43</v>
      </c>
      <c r="T28" s="31" t="s">
        <v>222</v>
      </c>
      <c r="U28" s="31" t="s">
        <v>236</v>
      </c>
    </row>
    <row r="29" spans="1:21" ht="23" customHeight="1" x14ac:dyDescent="0.35">
      <c r="A29" s="19">
        <v>28</v>
      </c>
      <c r="B29" s="19" t="s">
        <v>272</v>
      </c>
      <c r="E29" s="19" t="s">
        <v>273</v>
      </c>
      <c r="Q29" s="19">
        <v>2000</v>
      </c>
      <c r="R29" s="19">
        <v>2400000</v>
      </c>
      <c r="S29" s="19" t="s">
        <v>79</v>
      </c>
      <c r="T29" s="19" t="s">
        <v>158</v>
      </c>
    </row>
    <row r="30" spans="1:21" s="31" customFormat="1" ht="25.5" customHeight="1" x14ac:dyDescent="0.35">
      <c r="A30" s="31">
        <v>29</v>
      </c>
      <c r="B30" s="31" t="s">
        <v>228</v>
      </c>
      <c r="C30" s="31" t="s">
        <v>221</v>
      </c>
      <c r="D30" s="31" t="s">
        <v>159</v>
      </c>
      <c r="E30" s="31" t="s">
        <v>160</v>
      </c>
      <c r="F30" s="31">
        <v>20000</v>
      </c>
      <c r="G30" s="31">
        <v>1</v>
      </c>
      <c r="H30" s="31" t="s">
        <v>156</v>
      </c>
      <c r="J30" s="31" t="s">
        <v>202</v>
      </c>
      <c r="K30" s="34"/>
      <c r="L30" s="34"/>
      <c r="M30" s="34"/>
      <c r="N30" s="34"/>
      <c r="P30" s="31" t="s">
        <v>243</v>
      </c>
      <c r="R30" s="31">
        <v>271632</v>
      </c>
      <c r="S30" s="31" t="s">
        <v>43</v>
      </c>
      <c r="T30" s="31" t="s">
        <v>44</v>
      </c>
      <c r="U30" s="31" t="s">
        <v>232</v>
      </c>
    </row>
    <row r="31" spans="1:21" s="22" customFormat="1" ht="26" customHeight="1" x14ac:dyDescent="0.35">
      <c r="A31" s="22">
        <v>30</v>
      </c>
      <c r="B31" s="22" t="s">
        <v>162</v>
      </c>
      <c r="C31" s="22" t="s">
        <v>163</v>
      </c>
      <c r="D31" s="22" t="s">
        <v>164</v>
      </c>
      <c r="E31" s="22" t="s">
        <v>165</v>
      </c>
      <c r="F31" s="22">
        <v>25000</v>
      </c>
      <c r="G31" s="22">
        <v>5</v>
      </c>
      <c r="H31" s="22" t="s">
        <v>161</v>
      </c>
      <c r="J31" s="22" t="s">
        <v>166</v>
      </c>
      <c r="R31" s="22">
        <v>500000</v>
      </c>
      <c r="S31" s="22" t="s">
        <v>125</v>
      </c>
      <c r="T31" s="22" t="s">
        <v>44</v>
      </c>
      <c r="U31" s="22" t="s">
        <v>208</v>
      </c>
    </row>
    <row r="32" spans="1:21" s="33" customFormat="1" ht="46.75" customHeight="1" x14ac:dyDescent="0.35">
      <c r="A32" s="33">
        <v>31</v>
      </c>
      <c r="B32" s="33" t="s">
        <v>167</v>
      </c>
      <c r="C32" s="33" t="s">
        <v>168</v>
      </c>
      <c r="D32" s="33" t="s">
        <v>164</v>
      </c>
      <c r="E32" s="33" t="s">
        <v>169</v>
      </c>
      <c r="F32" s="33">
        <v>1500000</v>
      </c>
      <c r="G32" s="33">
        <v>2</v>
      </c>
      <c r="H32" s="33" t="s">
        <v>170</v>
      </c>
      <c r="J32" s="33" t="s">
        <v>171</v>
      </c>
      <c r="O32" s="33" t="s">
        <v>267</v>
      </c>
      <c r="R32" s="33">
        <v>1000000</v>
      </c>
      <c r="S32" s="33" t="s">
        <v>43</v>
      </c>
      <c r="T32" s="33" t="s">
        <v>224</v>
      </c>
      <c r="U32" s="33" t="s">
        <v>325</v>
      </c>
    </row>
    <row r="33" spans="1:21" s="34" customFormat="1" ht="25" customHeight="1" x14ac:dyDescent="0.35">
      <c r="A33" s="34">
        <v>32</v>
      </c>
      <c r="B33" s="34" t="s">
        <v>172</v>
      </c>
      <c r="C33" s="34" t="s">
        <v>173</v>
      </c>
      <c r="D33" s="34" t="s">
        <v>174</v>
      </c>
      <c r="E33" s="34" t="s">
        <v>175</v>
      </c>
      <c r="F33" s="36">
        <v>50000</v>
      </c>
      <c r="G33" s="34">
        <v>3</v>
      </c>
      <c r="H33" s="34" t="s">
        <v>176</v>
      </c>
      <c r="J33" s="34" t="s">
        <v>308</v>
      </c>
      <c r="O33" s="34" t="s">
        <v>42</v>
      </c>
      <c r="P33" s="34" t="s">
        <v>243</v>
      </c>
      <c r="R33" s="34">
        <v>1000000</v>
      </c>
      <c r="S33" s="34" t="s">
        <v>43</v>
      </c>
      <c r="T33" s="34" t="s">
        <v>43</v>
      </c>
      <c r="U33" s="34" t="s">
        <v>233</v>
      </c>
    </row>
    <row r="34" spans="1:21" s="34" customFormat="1" ht="24.5" customHeight="1" x14ac:dyDescent="0.35">
      <c r="A34" s="34">
        <v>33</v>
      </c>
      <c r="B34" s="34" t="s">
        <v>177</v>
      </c>
      <c r="C34" s="34" t="s">
        <v>178</v>
      </c>
      <c r="D34" s="34" t="s">
        <v>179</v>
      </c>
      <c r="E34" s="34" t="s">
        <v>180</v>
      </c>
      <c r="F34" s="36">
        <v>7500</v>
      </c>
      <c r="G34" s="34">
        <v>3</v>
      </c>
      <c r="H34" s="34" t="s">
        <v>181</v>
      </c>
      <c r="J34" s="34" t="s">
        <v>209</v>
      </c>
      <c r="O34" s="34" t="s">
        <v>34</v>
      </c>
      <c r="R34" s="34">
        <v>187500</v>
      </c>
      <c r="S34" s="34" t="s">
        <v>43</v>
      </c>
      <c r="T34" s="34" t="s">
        <v>43</v>
      </c>
      <c r="U34" s="34" t="s">
        <v>344</v>
      </c>
    </row>
    <row r="35" spans="1:21" s="31" customFormat="1" ht="25.5" customHeight="1" x14ac:dyDescent="0.35">
      <c r="A35" s="31">
        <v>34</v>
      </c>
      <c r="B35" s="31" t="s">
        <v>182</v>
      </c>
      <c r="C35" s="31" t="s">
        <v>183</v>
      </c>
      <c r="D35" s="31" t="s">
        <v>184</v>
      </c>
      <c r="E35" s="31" t="s">
        <v>185</v>
      </c>
      <c r="F35" s="32">
        <v>8000</v>
      </c>
      <c r="G35" s="31" t="s">
        <v>206</v>
      </c>
      <c r="H35" s="31" t="s">
        <v>186</v>
      </c>
      <c r="J35" s="31" t="s">
        <v>187</v>
      </c>
      <c r="R35" s="31" t="s">
        <v>207</v>
      </c>
      <c r="S35" s="31" t="s">
        <v>43</v>
      </c>
      <c r="T35" s="31" t="s">
        <v>222</v>
      </c>
      <c r="U35" s="31" t="s">
        <v>276</v>
      </c>
    </row>
    <row r="36" spans="1:21" s="31" customFormat="1" ht="47.4" customHeight="1" x14ac:dyDescent="0.35">
      <c r="A36" s="31">
        <v>35</v>
      </c>
      <c r="B36" s="31" t="s">
        <v>210</v>
      </c>
      <c r="C36" s="31" t="s">
        <v>211</v>
      </c>
      <c r="D36" s="31" t="s">
        <v>159</v>
      </c>
      <c r="E36" s="31" t="s">
        <v>212</v>
      </c>
      <c r="F36" s="32" t="s">
        <v>213</v>
      </c>
      <c r="G36" s="31" t="s">
        <v>214</v>
      </c>
      <c r="H36" s="31" t="s">
        <v>186</v>
      </c>
      <c r="J36" s="31" t="s">
        <v>234</v>
      </c>
      <c r="O36" s="31" t="s">
        <v>278</v>
      </c>
      <c r="R36" s="31">
        <v>36000</v>
      </c>
      <c r="S36" s="31" t="s">
        <v>43</v>
      </c>
      <c r="T36" s="31" t="s">
        <v>222</v>
      </c>
      <c r="U36" s="31" t="s">
        <v>307</v>
      </c>
    </row>
    <row r="37" spans="1:21" s="31" customFormat="1" ht="24.5" customHeight="1" x14ac:dyDescent="0.35">
      <c r="A37" s="31">
        <v>36</v>
      </c>
      <c r="B37" s="31" t="s">
        <v>215</v>
      </c>
      <c r="C37" s="31" t="s">
        <v>216</v>
      </c>
      <c r="D37" s="31" t="s">
        <v>47</v>
      </c>
      <c r="E37" s="31" t="s">
        <v>217</v>
      </c>
      <c r="F37" s="32">
        <v>30000</v>
      </c>
      <c r="G37" s="31">
        <v>1</v>
      </c>
      <c r="H37" s="31" t="s">
        <v>392</v>
      </c>
      <c r="J37" s="31" t="s">
        <v>218</v>
      </c>
      <c r="O37" s="31" t="s">
        <v>42</v>
      </c>
      <c r="P37" s="31" t="s">
        <v>243</v>
      </c>
      <c r="R37" s="31">
        <v>475000</v>
      </c>
      <c r="S37" s="31" t="s">
        <v>43</v>
      </c>
      <c r="T37" s="31" t="s">
        <v>222</v>
      </c>
      <c r="U37" s="31" t="s">
        <v>326</v>
      </c>
    </row>
    <row r="38" spans="1:21" ht="24.5" customHeight="1" x14ac:dyDescent="0.35">
      <c r="A38" s="19">
        <v>37</v>
      </c>
      <c r="B38" s="19" t="s">
        <v>219</v>
      </c>
      <c r="C38" s="19" t="s">
        <v>178</v>
      </c>
      <c r="D38" s="19" t="s">
        <v>47</v>
      </c>
      <c r="E38" s="19" t="s">
        <v>220</v>
      </c>
      <c r="F38" s="24">
        <v>100000</v>
      </c>
      <c r="G38" s="19">
        <v>2</v>
      </c>
      <c r="H38" s="19" t="s">
        <v>393</v>
      </c>
      <c r="J38" s="19" t="s">
        <v>281</v>
      </c>
      <c r="O38" s="19" t="s">
        <v>14</v>
      </c>
      <c r="R38" s="19">
        <v>1200000</v>
      </c>
      <c r="S38" s="19" t="s">
        <v>279</v>
      </c>
      <c r="T38" s="19" t="s">
        <v>279</v>
      </c>
      <c r="U38" s="19" t="s">
        <v>277</v>
      </c>
    </row>
    <row r="39" spans="1:21" ht="24" x14ac:dyDescent="0.35">
      <c r="A39" s="19">
        <v>38</v>
      </c>
      <c r="B39" s="19" t="s">
        <v>238</v>
      </c>
      <c r="C39" s="19" t="s">
        <v>237</v>
      </c>
      <c r="D39" s="19" t="s">
        <v>38</v>
      </c>
      <c r="E39" s="19" t="s">
        <v>239</v>
      </c>
      <c r="F39" s="19" t="s">
        <v>240</v>
      </c>
      <c r="G39" s="19">
        <v>3</v>
      </c>
      <c r="H39" s="19" t="s">
        <v>241</v>
      </c>
      <c r="J39" s="19" t="s">
        <v>321</v>
      </c>
      <c r="O39" s="19" t="s">
        <v>42</v>
      </c>
      <c r="Q39" s="19">
        <v>10000</v>
      </c>
      <c r="R39" s="19">
        <v>100000</v>
      </c>
      <c r="S39" s="19" t="s">
        <v>79</v>
      </c>
      <c r="T39" s="19" t="s">
        <v>130</v>
      </c>
      <c r="U39" s="19" t="s">
        <v>322</v>
      </c>
    </row>
    <row r="40" spans="1:21" s="33" customFormat="1" x14ac:dyDescent="0.35">
      <c r="A40" s="33">
        <v>39</v>
      </c>
      <c r="B40" s="33" t="s">
        <v>244</v>
      </c>
      <c r="C40" s="33" t="s">
        <v>46</v>
      </c>
      <c r="D40" s="33" t="s">
        <v>248</v>
      </c>
      <c r="E40" s="33" t="s">
        <v>247</v>
      </c>
      <c r="F40" s="33">
        <v>2200</v>
      </c>
      <c r="G40" s="33">
        <v>1</v>
      </c>
      <c r="H40" s="33" t="s">
        <v>245</v>
      </c>
      <c r="J40" s="33" t="s">
        <v>246</v>
      </c>
      <c r="K40" s="34"/>
      <c r="L40" s="34"/>
      <c r="M40" s="34"/>
      <c r="N40" s="34"/>
      <c r="O40" s="33" t="s">
        <v>153</v>
      </c>
      <c r="S40" s="33" t="s">
        <v>43</v>
      </c>
      <c r="T40" s="33" t="s">
        <v>224</v>
      </c>
      <c r="U40" s="33" t="s">
        <v>383</v>
      </c>
    </row>
    <row r="41" spans="1:21" s="33" customFormat="1" ht="36" x14ac:dyDescent="0.35">
      <c r="A41" s="33">
        <v>40</v>
      </c>
      <c r="B41" s="33" t="s">
        <v>268</v>
      </c>
      <c r="C41" s="33" t="s">
        <v>269</v>
      </c>
      <c r="D41" s="33" t="s">
        <v>47</v>
      </c>
      <c r="E41" s="33" t="s">
        <v>270</v>
      </c>
      <c r="F41" s="33">
        <v>100000</v>
      </c>
      <c r="G41" s="33" t="s">
        <v>32</v>
      </c>
      <c r="H41" s="33" t="s">
        <v>271</v>
      </c>
      <c r="J41" s="33" t="s">
        <v>316</v>
      </c>
      <c r="K41" s="34"/>
      <c r="L41" s="34"/>
      <c r="M41" s="34"/>
      <c r="N41" s="34"/>
      <c r="O41" s="33" t="s">
        <v>34</v>
      </c>
      <c r="R41" s="33">
        <v>400000</v>
      </c>
      <c r="S41" s="33" t="s">
        <v>43</v>
      </c>
      <c r="T41" s="33" t="s">
        <v>224</v>
      </c>
      <c r="U41" s="33" t="s">
        <v>384</v>
      </c>
    </row>
    <row r="42" spans="1:21" ht="36" x14ac:dyDescent="0.35">
      <c r="A42" s="19">
        <v>41</v>
      </c>
      <c r="B42" s="19" t="s">
        <v>280</v>
      </c>
      <c r="C42" s="19" t="s">
        <v>37</v>
      </c>
      <c r="D42" s="19" t="s">
        <v>38</v>
      </c>
      <c r="E42" s="19" t="s">
        <v>286</v>
      </c>
      <c r="F42" s="19" t="s">
        <v>282</v>
      </c>
      <c r="G42" s="19" t="s">
        <v>283</v>
      </c>
      <c r="H42" s="19" t="s">
        <v>284</v>
      </c>
      <c r="J42" s="19" t="s">
        <v>316</v>
      </c>
      <c r="O42" s="19" t="s">
        <v>34</v>
      </c>
      <c r="R42" s="19" t="s">
        <v>285</v>
      </c>
      <c r="S42" s="19" t="s">
        <v>79</v>
      </c>
      <c r="T42" s="19" t="s">
        <v>130</v>
      </c>
      <c r="U42" s="19" t="s">
        <v>293</v>
      </c>
    </row>
    <row r="43" spans="1:21" s="34" customFormat="1" ht="48" x14ac:dyDescent="0.35">
      <c r="A43" s="34">
        <v>42</v>
      </c>
      <c r="B43" s="34" t="s">
        <v>288</v>
      </c>
      <c r="C43" s="34" t="s">
        <v>289</v>
      </c>
      <c r="D43" s="34" t="s">
        <v>38</v>
      </c>
      <c r="E43" s="34" t="s">
        <v>287</v>
      </c>
      <c r="F43" s="34">
        <v>10000</v>
      </c>
      <c r="G43" s="34">
        <v>5</v>
      </c>
      <c r="H43" s="34" t="s">
        <v>284</v>
      </c>
      <c r="J43" s="34" t="s">
        <v>346</v>
      </c>
      <c r="O43" s="34" t="s">
        <v>34</v>
      </c>
      <c r="Q43" s="34" t="s">
        <v>291</v>
      </c>
      <c r="R43" s="34">
        <v>200000</v>
      </c>
      <c r="S43" s="34" t="s">
        <v>43</v>
      </c>
      <c r="T43" s="34" t="s">
        <v>50</v>
      </c>
      <c r="U43" s="34" t="s">
        <v>385</v>
      </c>
    </row>
    <row r="44" spans="1:21" ht="108" x14ac:dyDescent="0.35">
      <c r="A44" s="19">
        <v>43</v>
      </c>
      <c r="B44" s="19" t="s">
        <v>292</v>
      </c>
      <c r="C44" s="19" t="s">
        <v>294</v>
      </c>
      <c r="D44" s="19" t="s">
        <v>29</v>
      </c>
      <c r="E44" s="19" t="s">
        <v>295</v>
      </c>
      <c r="F44" s="19">
        <v>30000000</v>
      </c>
      <c r="G44" s="19">
        <v>1</v>
      </c>
      <c r="H44" s="19" t="s">
        <v>296</v>
      </c>
      <c r="J44" s="19" t="s">
        <v>297</v>
      </c>
      <c r="O44" s="19" t="s">
        <v>34</v>
      </c>
      <c r="Q44" s="19">
        <v>20000</v>
      </c>
      <c r="R44" s="19">
        <v>10000000</v>
      </c>
      <c r="S44" s="19" t="s">
        <v>279</v>
      </c>
      <c r="T44" s="19" t="s">
        <v>279</v>
      </c>
      <c r="U44" s="19" t="s">
        <v>345</v>
      </c>
    </row>
    <row r="45" spans="1:21" ht="48" x14ac:dyDescent="0.35">
      <c r="A45" s="19">
        <v>44</v>
      </c>
      <c r="B45" s="19" t="s">
        <v>298</v>
      </c>
      <c r="C45" s="19" t="s">
        <v>299</v>
      </c>
      <c r="D45" s="19" t="s">
        <v>47</v>
      </c>
      <c r="E45" s="19" t="s">
        <v>301</v>
      </c>
      <c r="F45" s="19">
        <v>1019</v>
      </c>
      <c r="G45" s="19">
        <v>1</v>
      </c>
      <c r="H45" s="19" t="s">
        <v>300</v>
      </c>
      <c r="J45" s="19" t="s">
        <v>296</v>
      </c>
      <c r="O45" s="19" t="s">
        <v>42</v>
      </c>
      <c r="R45" s="19">
        <v>100000</v>
      </c>
      <c r="S45" s="19" t="s">
        <v>279</v>
      </c>
      <c r="T45" s="19" t="s">
        <v>279</v>
      </c>
      <c r="U45" s="19" t="s">
        <v>323</v>
      </c>
    </row>
    <row r="46" spans="1:21" ht="60" x14ac:dyDescent="0.35">
      <c r="A46" s="19">
        <v>45</v>
      </c>
      <c r="B46" s="19" t="s">
        <v>302</v>
      </c>
      <c r="C46" s="19" t="s">
        <v>305</v>
      </c>
      <c r="D46" s="19" t="s">
        <v>306</v>
      </c>
      <c r="E46" s="19" t="s">
        <v>303</v>
      </c>
      <c r="F46" s="19">
        <v>100000</v>
      </c>
      <c r="G46" s="19">
        <v>2</v>
      </c>
      <c r="J46" s="19" t="s">
        <v>242</v>
      </c>
      <c r="O46" s="19" t="s">
        <v>304</v>
      </c>
      <c r="Q46" s="19">
        <v>5000</v>
      </c>
      <c r="R46" s="19">
        <v>600000</v>
      </c>
      <c r="S46" s="19" t="s">
        <v>125</v>
      </c>
      <c r="T46" s="19" t="s">
        <v>44</v>
      </c>
    </row>
    <row r="47" spans="1:21" s="34" customFormat="1" ht="72" x14ac:dyDescent="0.35">
      <c r="A47" s="34">
        <v>46</v>
      </c>
      <c r="B47" s="34" t="s">
        <v>309</v>
      </c>
      <c r="C47" s="34" t="s">
        <v>102</v>
      </c>
      <c r="D47" s="34" t="s">
        <v>320</v>
      </c>
      <c r="E47" s="34" t="s">
        <v>319</v>
      </c>
      <c r="F47" s="34">
        <v>15000</v>
      </c>
      <c r="G47" s="34">
        <v>3</v>
      </c>
      <c r="H47" s="34" t="s">
        <v>394</v>
      </c>
      <c r="J47" s="34" t="s">
        <v>353</v>
      </c>
      <c r="K47" s="19"/>
      <c r="L47" s="19"/>
      <c r="M47" s="19"/>
      <c r="N47" s="19"/>
      <c r="O47" s="34" t="s">
        <v>304</v>
      </c>
      <c r="R47" s="34" t="s">
        <v>318</v>
      </c>
      <c r="S47" s="34" t="s">
        <v>43</v>
      </c>
      <c r="T47" s="34" t="s">
        <v>381</v>
      </c>
    </row>
    <row r="48" spans="1:21" ht="36" x14ac:dyDescent="0.35">
      <c r="A48" s="19">
        <v>47</v>
      </c>
      <c r="B48" s="19" t="s">
        <v>310</v>
      </c>
      <c r="C48" s="19" t="s">
        <v>311</v>
      </c>
      <c r="D48" s="19" t="s">
        <v>306</v>
      </c>
      <c r="E48" s="19" t="s">
        <v>312</v>
      </c>
      <c r="F48" s="19" t="s">
        <v>354</v>
      </c>
      <c r="G48" s="19">
        <v>1</v>
      </c>
      <c r="J48" s="19" t="s">
        <v>313</v>
      </c>
      <c r="O48" s="19" t="s">
        <v>314</v>
      </c>
      <c r="R48" s="19">
        <v>300000</v>
      </c>
      <c r="S48" s="19" t="s">
        <v>279</v>
      </c>
      <c r="T48" s="19" t="s">
        <v>279</v>
      </c>
      <c r="U48" s="19" t="s">
        <v>355</v>
      </c>
    </row>
    <row r="49" spans="1:21" s="31" customFormat="1" ht="48" x14ac:dyDescent="0.35">
      <c r="A49" s="31">
        <v>48</v>
      </c>
      <c r="B49" s="31" t="s">
        <v>315</v>
      </c>
      <c r="C49" s="31" t="s">
        <v>294</v>
      </c>
      <c r="D49" s="31" t="s">
        <v>29</v>
      </c>
      <c r="E49" s="31" t="s">
        <v>317</v>
      </c>
      <c r="F49" s="31">
        <v>350000</v>
      </c>
      <c r="G49" s="31">
        <v>2</v>
      </c>
      <c r="H49" s="31" t="s">
        <v>296</v>
      </c>
      <c r="J49" s="31" t="s">
        <v>290</v>
      </c>
      <c r="K49" s="34"/>
      <c r="L49" s="34"/>
      <c r="M49" s="34"/>
      <c r="N49" s="34"/>
      <c r="O49" s="31" t="s">
        <v>34</v>
      </c>
      <c r="R49" s="31">
        <v>1000000</v>
      </c>
      <c r="S49" s="31" t="s">
        <v>43</v>
      </c>
      <c r="T49" s="31" t="s">
        <v>382</v>
      </c>
      <c r="U49" s="31" t="s">
        <v>372</v>
      </c>
    </row>
    <row r="50" spans="1:21" ht="48" x14ac:dyDescent="0.35">
      <c r="A50" s="19">
        <v>49</v>
      </c>
      <c r="B50" s="19" t="s">
        <v>328</v>
      </c>
      <c r="C50" s="19" t="s">
        <v>46</v>
      </c>
      <c r="D50" s="19" t="s">
        <v>47</v>
      </c>
      <c r="E50" s="19" t="s">
        <v>329</v>
      </c>
      <c r="F50" s="19">
        <v>10000</v>
      </c>
      <c r="G50" s="19" t="s">
        <v>122</v>
      </c>
      <c r="J50" s="19" t="s">
        <v>330</v>
      </c>
      <c r="O50" s="19" t="s">
        <v>34</v>
      </c>
      <c r="R50" s="19">
        <v>1000000</v>
      </c>
      <c r="S50" s="19" t="s">
        <v>279</v>
      </c>
      <c r="T50" s="19" t="s">
        <v>279</v>
      </c>
      <c r="U50" s="19" t="s">
        <v>356</v>
      </c>
    </row>
    <row r="51" spans="1:21" ht="72" x14ac:dyDescent="0.35">
      <c r="A51" s="19">
        <v>50</v>
      </c>
      <c r="B51" s="19" t="s">
        <v>331</v>
      </c>
      <c r="C51" s="19" t="s">
        <v>332</v>
      </c>
      <c r="D51" s="19" t="s">
        <v>29</v>
      </c>
      <c r="E51" s="19" t="s">
        <v>333</v>
      </c>
      <c r="F51" s="19">
        <v>1</v>
      </c>
      <c r="G51" s="19">
        <v>1</v>
      </c>
      <c r="J51" s="19" t="s">
        <v>334</v>
      </c>
      <c r="R51" s="19">
        <v>3200</v>
      </c>
      <c r="S51" s="19" t="s">
        <v>279</v>
      </c>
      <c r="T51" s="19" t="s">
        <v>279</v>
      </c>
    </row>
    <row r="52" spans="1:21" ht="60" x14ac:dyDescent="0.35">
      <c r="A52" s="19">
        <v>51</v>
      </c>
      <c r="B52" s="19" t="s">
        <v>335</v>
      </c>
      <c r="C52" s="19" t="s">
        <v>336</v>
      </c>
      <c r="D52" s="19" t="s">
        <v>29</v>
      </c>
      <c r="E52" s="19" t="s">
        <v>337</v>
      </c>
      <c r="F52" s="19" t="s">
        <v>338</v>
      </c>
      <c r="G52" s="19" t="s">
        <v>339</v>
      </c>
      <c r="J52" s="19" t="s">
        <v>367</v>
      </c>
      <c r="R52" s="19">
        <v>1200000</v>
      </c>
      <c r="S52" s="19" t="s">
        <v>125</v>
      </c>
      <c r="T52" s="19" t="s">
        <v>44</v>
      </c>
      <c r="U52" s="19" t="s">
        <v>341</v>
      </c>
    </row>
    <row r="53" spans="1:21" ht="24" x14ac:dyDescent="0.35">
      <c r="A53" s="19">
        <v>52</v>
      </c>
      <c r="B53" s="19" t="s">
        <v>343</v>
      </c>
      <c r="C53" s="19" t="s">
        <v>294</v>
      </c>
      <c r="D53" s="19" t="s">
        <v>29</v>
      </c>
      <c r="E53" s="19" t="s">
        <v>342</v>
      </c>
      <c r="F53" s="19">
        <v>80000</v>
      </c>
      <c r="G53" s="19">
        <v>1</v>
      </c>
      <c r="H53" s="19" t="s">
        <v>334</v>
      </c>
      <c r="J53" s="19" t="s">
        <v>349</v>
      </c>
      <c r="O53" s="19" t="s">
        <v>267</v>
      </c>
      <c r="Q53" s="19">
        <v>11800</v>
      </c>
      <c r="R53" s="19">
        <v>1500000</v>
      </c>
      <c r="S53" s="19" t="s">
        <v>94</v>
      </c>
      <c r="T53" s="19" t="s">
        <v>94</v>
      </c>
    </row>
    <row r="54" spans="1:21" ht="24" x14ac:dyDescent="0.35">
      <c r="A54" s="19">
        <v>53</v>
      </c>
      <c r="B54" s="19" t="s">
        <v>348</v>
      </c>
      <c r="C54" s="19" t="s">
        <v>168</v>
      </c>
      <c r="D54" s="19" t="s">
        <v>59</v>
      </c>
      <c r="E54" s="19" t="s">
        <v>350</v>
      </c>
      <c r="G54" s="19" t="s">
        <v>283</v>
      </c>
      <c r="H54" s="19" t="s">
        <v>351</v>
      </c>
      <c r="J54" s="19" t="s">
        <v>352</v>
      </c>
      <c r="O54" s="19" t="s">
        <v>267</v>
      </c>
      <c r="Q54" s="19">
        <v>10000</v>
      </c>
      <c r="R54" s="19">
        <v>500000</v>
      </c>
      <c r="S54" s="19" t="s">
        <v>94</v>
      </c>
      <c r="T54" s="19" t="s">
        <v>94</v>
      </c>
    </row>
    <row r="55" spans="1:21" x14ac:dyDescent="0.35">
      <c r="A55" s="19">
        <v>54</v>
      </c>
      <c r="B55" s="19" t="s">
        <v>347</v>
      </c>
      <c r="C55" s="19" t="s">
        <v>46</v>
      </c>
      <c r="D55" s="19" t="s">
        <v>52</v>
      </c>
      <c r="E55" s="19" t="s">
        <v>362</v>
      </c>
      <c r="F55" s="19" t="s">
        <v>363</v>
      </c>
      <c r="G55" s="19" t="s">
        <v>364</v>
      </c>
      <c r="H55" s="19" t="s">
        <v>365</v>
      </c>
      <c r="J55" s="19" t="s">
        <v>366</v>
      </c>
      <c r="O55" s="19" t="s">
        <v>361</v>
      </c>
      <c r="Q55" s="19">
        <v>10000</v>
      </c>
      <c r="R55" s="19">
        <v>500000</v>
      </c>
      <c r="S55" s="19" t="s">
        <v>94</v>
      </c>
      <c r="T55" s="19" t="s">
        <v>94</v>
      </c>
    </row>
    <row r="56" spans="1:21" ht="72" x14ac:dyDescent="0.35">
      <c r="A56" s="19">
        <v>55</v>
      </c>
      <c r="B56" s="19" t="s">
        <v>357</v>
      </c>
      <c r="C56" s="19" t="s">
        <v>294</v>
      </c>
      <c r="D56" s="19" t="s">
        <v>358</v>
      </c>
      <c r="E56" s="19" t="s">
        <v>359</v>
      </c>
      <c r="G56" s="19">
        <v>3</v>
      </c>
      <c r="H56" s="19" t="s">
        <v>351</v>
      </c>
      <c r="J56" s="19" t="s">
        <v>360</v>
      </c>
      <c r="O56" s="19" t="s">
        <v>267</v>
      </c>
      <c r="Q56" s="24">
        <v>5725</v>
      </c>
      <c r="R56" s="24">
        <v>212500</v>
      </c>
      <c r="S56" s="19" t="s">
        <v>94</v>
      </c>
      <c r="T56" s="19" t="s">
        <v>94</v>
      </c>
    </row>
    <row r="57" spans="1:21" ht="24" x14ac:dyDescent="0.35">
      <c r="A57" s="19">
        <v>56</v>
      </c>
      <c r="B57" s="19" t="s">
        <v>368</v>
      </c>
      <c r="D57" s="19" t="s">
        <v>47</v>
      </c>
      <c r="E57" s="19" t="s">
        <v>369</v>
      </c>
      <c r="F57" s="19">
        <v>3000</v>
      </c>
      <c r="G57" s="19" t="s">
        <v>370</v>
      </c>
      <c r="J57" s="19" t="s">
        <v>371</v>
      </c>
      <c r="O57" s="19" t="s">
        <v>42</v>
      </c>
      <c r="Q57" s="19">
        <v>0</v>
      </c>
      <c r="R57" s="19">
        <v>0</v>
      </c>
      <c r="S57" s="19" t="s">
        <v>94</v>
      </c>
      <c r="T57" s="19" t="s">
        <v>94</v>
      </c>
      <c r="U57" s="19" t="s">
        <v>373</v>
      </c>
    </row>
    <row r="58" spans="1:21" ht="24" x14ac:dyDescent="0.35">
      <c r="A58" s="19">
        <v>57</v>
      </c>
      <c r="B58" s="19" t="s">
        <v>374</v>
      </c>
      <c r="D58" s="19" t="s">
        <v>380</v>
      </c>
      <c r="E58" s="19" t="s">
        <v>375</v>
      </c>
      <c r="F58" s="19" t="s">
        <v>378</v>
      </c>
      <c r="G58" s="19">
        <v>3</v>
      </c>
      <c r="H58" s="19" t="s">
        <v>365</v>
      </c>
      <c r="J58" s="19" t="s">
        <v>376</v>
      </c>
      <c r="O58" s="19" t="s">
        <v>377</v>
      </c>
      <c r="Q58" s="19">
        <v>5000</v>
      </c>
      <c r="R58" s="19">
        <v>500000</v>
      </c>
      <c r="S58" s="19" t="s">
        <v>94</v>
      </c>
      <c r="T58" s="19" t="s">
        <v>94</v>
      </c>
      <c r="U58" s="19" t="s">
        <v>379</v>
      </c>
    </row>
    <row r="59" spans="1:21" ht="36" x14ac:dyDescent="0.35">
      <c r="A59" s="19">
        <v>58</v>
      </c>
      <c r="B59" s="19" t="s">
        <v>36</v>
      </c>
      <c r="D59" s="19" t="s">
        <v>38</v>
      </c>
      <c r="E59" s="19" t="s">
        <v>386</v>
      </c>
      <c r="F59" s="19" t="s">
        <v>387</v>
      </c>
      <c r="G59" s="19" t="s">
        <v>40</v>
      </c>
      <c r="H59" s="19" t="s">
        <v>367</v>
      </c>
      <c r="J59" s="19" t="s">
        <v>388</v>
      </c>
      <c r="O59" s="19" t="s">
        <v>267</v>
      </c>
      <c r="Q59" s="19">
        <v>0</v>
      </c>
      <c r="R59" s="19">
        <v>2500000</v>
      </c>
      <c r="S59" s="19" t="s">
        <v>94</v>
      </c>
      <c r="T59" s="19" t="s">
        <v>94</v>
      </c>
    </row>
  </sheetData>
  <autoFilter ref="A1:AA59" xr:uid="{00000000-0001-0000-0000-000000000000}"/>
  <phoneticPr fontId="6" type="noConversion"/>
  <pageMargins left="0.7" right="0.7" top="0.75" bottom="0.75" header="0.3" footer="0.3"/>
  <pageSetup scale="36"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4"/>
  <sheetViews>
    <sheetView workbookViewId="0">
      <selection activeCell="D14" sqref="D14"/>
    </sheetView>
  </sheetViews>
  <sheetFormatPr defaultColWidth="9.1796875" defaultRowHeight="14.5" x14ac:dyDescent="0.35"/>
  <cols>
    <col min="1" max="1" width="5.1796875" style="5" customWidth="1"/>
    <col min="2" max="3" width="9.1796875" style="5"/>
    <col min="4" max="4" width="16.453125" style="5" customWidth="1"/>
    <col min="5" max="16384" width="9.1796875" style="5"/>
  </cols>
  <sheetData>
    <row r="1" spans="1:20" s="18" customFormat="1" ht="48" x14ac:dyDescent="0.3">
      <c r="A1" s="3" t="s">
        <v>0</v>
      </c>
      <c r="B1" s="3" t="s">
        <v>1</v>
      </c>
      <c r="C1" s="3" t="s">
        <v>2</v>
      </c>
      <c r="D1" s="3" t="s">
        <v>3</v>
      </c>
      <c r="E1" s="3" t="s">
        <v>4</v>
      </c>
      <c r="F1" s="4" t="s">
        <v>5</v>
      </c>
      <c r="G1" s="8" t="s">
        <v>6</v>
      </c>
      <c r="H1" s="3" t="s">
        <v>7</v>
      </c>
      <c r="I1" s="3" t="s">
        <v>8</v>
      </c>
      <c r="J1" s="3" t="s">
        <v>9</v>
      </c>
      <c r="K1" s="3" t="s">
        <v>10</v>
      </c>
      <c r="L1" s="3" t="s">
        <v>11</v>
      </c>
      <c r="M1" s="3" t="s">
        <v>12</v>
      </c>
      <c r="N1" s="3" t="s">
        <v>13</v>
      </c>
      <c r="O1" s="3" t="s">
        <v>14</v>
      </c>
      <c r="P1" s="3" t="s">
        <v>15</v>
      </c>
      <c r="Q1" s="3" t="s">
        <v>16</v>
      </c>
      <c r="R1" s="3" t="s">
        <v>17</v>
      </c>
      <c r="S1" s="3" t="s">
        <v>18</v>
      </c>
      <c r="T1" s="8" t="s">
        <v>19</v>
      </c>
    </row>
    <row r="2" spans="1:20" x14ac:dyDescent="0.35">
      <c r="B2" s="6"/>
      <c r="C2" s="6"/>
      <c r="D2" s="6"/>
      <c r="E2" s="7"/>
      <c r="F2" s="7"/>
      <c r="G2" s="6"/>
      <c r="H2" s="6"/>
      <c r="I2" s="6"/>
      <c r="J2" s="6"/>
      <c r="K2" s="6"/>
      <c r="L2" s="6"/>
      <c r="M2" s="6"/>
      <c r="N2" s="6"/>
      <c r="O2" s="6"/>
      <c r="P2" s="6"/>
    </row>
    <row r="3" spans="1:20" x14ac:dyDescent="0.35">
      <c r="B3" s="6"/>
      <c r="C3" s="6"/>
      <c r="D3" s="6"/>
      <c r="E3" s="7"/>
      <c r="F3" s="7"/>
      <c r="G3" s="6"/>
      <c r="H3" s="6"/>
      <c r="I3" s="6"/>
      <c r="J3" s="6"/>
      <c r="K3" s="6"/>
      <c r="L3" s="6"/>
      <c r="M3" s="6"/>
      <c r="N3" s="6"/>
      <c r="O3" s="6"/>
      <c r="P3" s="6"/>
    </row>
    <row r="4" spans="1:20" x14ac:dyDescent="0.35">
      <c r="B4" s="1"/>
      <c r="C4" s="1"/>
      <c r="D4" s="1"/>
      <c r="E4" s="2"/>
      <c r="F4" s="2"/>
      <c r="G4" s="1"/>
      <c r="H4" s="1"/>
      <c r="I4" s="1"/>
      <c r="J4" s="1"/>
      <c r="K4" s="1"/>
      <c r="L4" s="1"/>
      <c r="M4" s="1"/>
      <c r="N4" s="1"/>
      <c r="O4" s="1"/>
      <c r="P4" s="1"/>
    </row>
    <row r="5" spans="1:20" x14ac:dyDescent="0.35">
      <c r="B5" s="1"/>
      <c r="C5" s="1"/>
      <c r="D5" s="1"/>
      <c r="E5" s="2"/>
      <c r="F5" s="2"/>
      <c r="G5" s="1"/>
      <c r="H5" s="1"/>
      <c r="I5" s="1"/>
      <c r="J5" s="1"/>
      <c r="K5" s="1"/>
      <c r="L5" s="1"/>
      <c r="M5" s="1"/>
      <c r="N5" s="1"/>
      <c r="O5" s="1"/>
      <c r="P5" s="1"/>
    </row>
    <row r="6" spans="1:20" x14ac:dyDescent="0.35">
      <c r="B6" s="1"/>
      <c r="C6" s="1"/>
      <c r="D6" s="1"/>
      <c r="E6" s="2"/>
      <c r="F6" s="2"/>
      <c r="G6" s="1"/>
      <c r="H6" s="1"/>
      <c r="I6" s="1"/>
      <c r="J6" s="1"/>
      <c r="K6" s="1"/>
      <c r="L6" s="1"/>
      <c r="M6" s="1"/>
      <c r="N6" s="1"/>
      <c r="O6" s="1"/>
      <c r="P6" s="1"/>
    </row>
    <row r="7" spans="1:20" x14ac:dyDescent="0.35">
      <c r="B7" s="1"/>
      <c r="C7" s="1"/>
      <c r="D7" s="1"/>
      <c r="E7" s="2"/>
      <c r="F7" s="1"/>
      <c r="G7" s="1"/>
      <c r="H7" s="1"/>
      <c r="I7" s="1"/>
      <c r="J7" s="1"/>
      <c r="K7" s="1"/>
      <c r="L7" s="1"/>
      <c r="M7" s="1"/>
      <c r="N7" s="1"/>
      <c r="O7" s="1"/>
      <c r="P7" s="1"/>
    </row>
    <row r="8" spans="1:20" x14ac:dyDescent="0.35">
      <c r="B8" s="1"/>
      <c r="C8" s="1"/>
      <c r="D8" s="1"/>
      <c r="E8" s="2"/>
      <c r="F8" s="1"/>
      <c r="G8" s="1"/>
      <c r="H8" s="1"/>
      <c r="I8" s="1"/>
      <c r="J8" s="1"/>
      <c r="K8" s="1"/>
      <c r="L8" s="1"/>
      <c r="M8" s="1"/>
      <c r="N8" s="1"/>
      <c r="O8" s="1"/>
      <c r="P8" s="1"/>
    </row>
    <row r="10" spans="1:20" x14ac:dyDescent="0.35">
      <c r="B10" s="9"/>
      <c r="C10" s="9"/>
    </row>
    <row r="11" spans="1:20" x14ac:dyDescent="0.35">
      <c r="B11" s="9"/>
      <c r="C11" s="9"/>
    </row>
    <row r="12" spans="1:20" x14ac:dyDescent="0.35">
      <c r="B12" s="9"/>
      <c r="C12" s="9"/>
    </row>
    <row r="13" spans="1:20" x14ac:dyDescent="0.35">
      <c r="B13" s="9"/>
      <c r="C13" s="9"/>
    </row>
    <row r="14" spans="1:20" x14ac:dyDescent="0.35">
      <c r="B14" s="9"/>
      <c r="C14" s="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494D3-3712-43BE-A15F-93C0C259A89F}">
  <dimension ref="A1:E9"/>
  <sheetViews>
    <sheetView workbookViewId="0">
      <selection activeCell="D4" sqref="D4"/>
    </sheetView>
  </sheetViews>
  <sheetFormatPr defaultColWidth="8.90625" defaultRowHeight="14.5" x14ac:dyDescent="0.35"/>
  <cols>
    <col min="1" max="1" width="8.90625" style="25"/>
    <col min="2" max="2" width="36.08984375" style="5" customWidth="1"/>
    <col min="3" max="3" width="14.81640625" style="5" customWidth="1"/>
    <col min="4" max="4" width="20.6328125" style="5" customWidth="1"/>
    <col min="5" max="5" width="28.453125" style="5" customWidth="1"/>
    <col min="6" max="16384" width="8.90625" style="5"/>
  </cols>
  <sheetData>
    <row r="1" spans="1:5" s="26" customFormat="1" ht="43.5" x14ac:dyDescent="0.35">
      <c r="A1" s="30" t="s">
        <v>250</v>
      </c>
      <c r="B1" s="30" t="s">
        <v>251</v>
      </c>
      <c r="C1" s="30" t="s">
        <v>257</v>
      </c>
      <c r="D1" s="30" t="s">
        <v>252</v>
      </c>
      <c r="E1" s="30" t="s">
        <v>253</v>
      </c>
    </row>
    <row r="2" spans="1:5" ht="42" customHeight="1" x14ac:dyDescent="0.35">
      <c r="A2" s="25">
        <v>1</v>
      </c>
      <c r="B2" s="5" t="s">
        <v>260</v>
      </c>
      <c r="C2" s="29">
        <v>150</v>
      </c>
      <c r="D2" s="25"/>
      <c r="E2" s="5" t="s">
        <v>254</v>
      </c>
    </row>
    <row r="3" spans="1:5" ht="72.5" x14ac:dyDescent="0.35">
      <c r="A3" s="25">
        <v>2</v>
      </c>
      <c r="B3" s="5" t="s">
        <v>261</v>
      </c>
      <c r="C3" s="25"/>
      <c r="D3" s="27">
        <v>39</v>
      </c>
    </row>
    <row r="4" spans="1:5" ht="58" x14ac:dyDescent="0.35">
      <c r="A4" s="25">
        <v>3</v>
      </c>
      <c r="B4" s="5" t="s">
        <v>259</v>
      </c>
      <c r="C4" s="25"/>
      <c r="D4" s="28">
        <v>17</v>
      </c>
      <c r="E4" s="5" t="s">
        <v>266</v>
      </c>
    </row>
    <row r="5" spans="1:5" ht="43.5" x14ac:dyDescent="0.35">
      <c r="A5" s="25">
        <v>4</v>
      </c>
      <c r="B5" s="5" t="s">
        <v>262</v>
      </c>
      <c r="C5" s="25"/>
      <c r="D5" s="25">
        <v>12</v>
      </c>
      <c r="E5" s="5" t="s">
        <v>256</v>
      </c>
    </row>
    <row r="6" spans="1:5" x14ac:dyDescent="0.35">
      <c r="A6" s="25">
        <v>5</v>
      </c>
      <c r="B6" s="5" t="s">
        <v>263</v>
      </c>
      <c r="C6" s="25"/>
      <c r="D6" s="25">
        <v>1</v>
      </c>
      <c r="E6" s="5" t="s">
        <v>258</v>
      </c>
    </row>
    <row r="7" spans="1:5" x14ac:dyDescent="0.35">
      <c r="A7" s="25">
        <v>6</v>
      </c>
      <c r="B7" s="5" t="s">
        <v>255</v>
      </c>
      <c r="C7" s="25"/>
      <c r="D7" s="25">
        <v>4</v>
      </c>
    </row>
    <row r="8" spans="1:5" x14ac:dyDescent="0.35">
      <c r="A8" s="25">
        <v>7</v>
      </c>
      <c r="B8" s="5" t="s">
        <v>264</v>
      </c>
      <c r="C8" s="25"/>
      <c r="D8" s="25">
        <v>5</v>
      </c>
    </row>
    <row r="9" spans="1:5" x14ac:dyDescent="0.35">
      <c r="A9" s="25">
        <v>8</v>
      </c>
      <c r="B9" s="5" t="s">
        <v>265</v>
      </c>
      <c r="C9" s="25">
        <f>C2-D3</f>
        <v>111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E1:G18"/>
  <sheetViews>
    <sheetView workbookViewId="0">
      <selection activeCell="J14" sqref="J14"/>
    </sheetView>
  </sheetViews>
  <sheetFormatPr defaultRowHeight="14.5" x14ac:dyDescent="0.35"/>
  <cols>
    <col min="2" max="2" width="15.81640625" customWidth="1"/>
    <col min="5" max="5" width="12.1796875" customWidth="1"/>
    <col min="6" max="6" width="17.81640625" customWidth="1"/>
  </cols>
  <sheetData>
    <row r="1" spans="5:7" x14ac:dyDescent="0.35">
      <c r="F1" t="s">
        <v>188</v>
      </c>
    </row>
    <row r="2" spans="5:7" x14ac:dyDescent="0.35">
      <c r="E2" s="38" t="s">
        <v>189</v>
      </c>
      <c r="F2" s="11" t="s">
        <v>50</v>
      </c>
      <c r="G2" s="11">
        <v>27</v>
      </c>
    </row>
    <row r="3" spans="5:7" x14ac:dyDescent="0.35">
      <c r="E3" s="38"/>
      <c r="F3" s="11" t="s">
        <v>190</v>
      </c>
      <c r="G3" s="11">
        <v>38</v>
      </c>
    </row>
    <row r="4" spans="5:7" x14ac:dyDescent="0.35">
      <c r="E4" s="38"/>
      <c r="F4" s="11" t="s">
        <v>191</v>
      </c>
      <c r="G4" s="11">
        <v>2</v>
      </c>
    </row>
    <row r="5" spans="5:7" x14ac:dyDescent="0.35">
      <c r="E5" s="38"/>
      <c r="F5" s="11" t="s">
        <v>192</v>
      </c>
      <c r="G5" s="11">
        <v>3</v>
      </c>
    </row>
    <row r="6" spans="5:7" x14ac:dyDescent="0.35">
      <c r="E6" s="38"/>
      <c r="F6" s="11" t="s">
        <v>193</v>
      </c>
      <c r="G6" s="12">
        <f>SUM(G2:G5)</f>
        <v>70</v>
      </c>
    </row>
    <row r="8" spans="5:7" x14ac:dyDescent="0.35">
      <c r="E8" s="37" t="s">
        <v>43</v>
      </c>
      <c r="F8" s="10" t="s">
        <v>194</v>
      </c>
      <c r="G8" s="10">
        <v>10</v>
      </c>
    </row>
    <row r="9" spans="5:7" x14ac:dyDescent="0.35">
      <c r="E9" s="37"/>
      <c r="F9" s="10" t="s">
        <v>195</v>
      </c>
      <c r="G9" s="10">
        <v>1</v>
      </c>
    </row>
    <row r="10" spans="5:7" x14ac:dyDescent="0.35">
      <c r="E10" s="37"/>
      <c r="F10" s="10" t="s">
        <v>196</v>
      </c>
      <c r="G10" s="10">
        <v>7</v>
      </c>
    </row>
    <row r="11" spans="5:7" x14ac:dyDescent="0.35">
      <c r="E11" s="37"/>
      <c r="F11" s="10" t="s">
        <v>197</v>
      </c>
      <c r="G11" s="10">
        <v>5</v>
      </c>
    </row>
    <row r="12" spans="5:7" x14ac:dyDescent="0.35">
      <c r="E12" s="37"/>
      <c r="F12" s="10" t="s">
        <v>198</v>
      </c>
      <c r="G12" s="10">
        <v>1</v>
      </c>
    </row>
    <row r="13" spans="5:7" x14ac:dyDescent="0.35">
      <c r="E13" s="14"/>
      <c r="F13" s="10" t="s">
        <v>199</v>
      </c>
      <c r="G13" s="10">
        <v>3</v>
      </c>
    </row>
    <row r="14" spans="5:7" x14ac:dyDescent="0.35">
      <c r="E14" s="9"/>
      <c r="F14" s="10" t="s">
        <v>193</v>
      </c>
      <c r="G14" s="13">
        <f>SUM(G8:G13)</f>
        <v>27</v>
      </c>
    </row>
    <row r="15" spans="5:7" x14ac:dyDescent="0.35">
      <c r="G15" s="15"/>
    </row>
    <row r="17" spans="6:7" x14ac:dyDescent="0.35">
      <c r="F17" s="16" t="s">
        <v>200</v>
      </c>
      <c r="G17" s="17">
        <f>G14/G6</f>
        <v>0.38571428571428573</v>
      </c>
    </row>
    <row r="18" spans="6:7" x14ac:dyDescent="0.35">
      <c r="F18" s="16" t="s">
        <v>201</v>
      </c>
      <c r="G18" s="17">
        <f>G8/G14</f>
        <v>0.37037037037037035</v>
      </c>
    </row>
  </sheetData>
  <mergeCells count="2">
    <mergeCell ref="E8:E12"/>
    <mergeCell ref="E2:E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Tenders</vt:lpstr>
      <vt:lpstr>Advisor contact</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Fernandez</dc:creator>
  <cp:keywords/>
  <dc:description/>
  <cp:lastModifiedBy>Anirudha Manohar Chavan</cp:lastModifiedBy>
  <cp:revision/>
  <dcterms:created xsi:type="dcterms:W3CDTF">2017-05-16T09:03:46Z</dcterms:created>
  <dcterms:modified xsi:type="dcterms:W3CDTF">2026-08-20T10:17:49Z</dcterms:modified>
  <cp:category/>
  <cp:contentStatus/>
</cp:coreProperties>
</file>