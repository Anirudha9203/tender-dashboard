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07826\Downloads\"/>
    </mc:Choice>
  </mc:AlternateContent>
  <xr:revisionPtr revIDLastSave="0" documentId="13_ncr:1_{9DC0A5A4-D429-4210-AAFE-7B067C754B50}" xr6:coauthVersionLast="47" xr6:coauthVersionMax="47" xr10:uidLastSave="{00000000-0000-0000-0000-000000000000}"/>
  <bookViews>
    <workbookView xWindow="-110" yWindow="-110" windowWidth="19420" windowHeight="10300" xr2:uid="{00000000-000D-0000-FFFF-FFFF00000000}"/>
  </bookViews>
  <sheets>
    <sheet name="Tenders" sheetId="1" r:id="rId1"/>
    <sheet name="Advisor contact" sheetId="3" r:id="rId2"/>
    <sheet name="Sheet1" sheetId="4" r:id="rId3"/>
    <sheet name="Sheet2" sheetId="2" r:id="rId4"/>
    <sheet name="Value Mapping Audit"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2" l="1"/>
  <c r="G17" i="2"/>
  <c r="G14" i="2"/>
  <c r="G6" i="2"/>
  <c r="C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1" authorId="0" shapeId="0" xr:uid="{00000000-0006-0000-0000-000001000000}">
      <text>
        <r>
          <rPr>
            <sz val="11"/>
            <color theme="1"/>
            <rFont val="Calibri"/>
          </rPr>
          <t>user:</t>
        </r>
      </text>
    </comment>
  </commentList>
</comments>
</file>

<file path=xl/sharedStrings.xml><?xml version="1.0" encoding="utf-8"?>
<sst xmlns="http://schemas.openxmlformats.org/spreadsheetml/2006/main" count="973" uniqueCount="466">
  <si>
    <t>Sr. No</t>
  </si>
  <si>
    <t>Organization</t>
  </si>
  <si>
    <t>City</t>
  </si>
  <si>
    <t>A/c owner</t>
  </si>
  <si>
    <t xml:space="preserve">Tender Details </t>
  </si>
  <si>
    <t xml:space="preserve">Candidate volumes </t>
  </si>
  <si>
    <t>Contract period (Years)</t>
  </si>
  <si>
    <t>Pre Bid meeting date</t>
  </si>
  <si>
    <t>Last date of Pre bid query submission</t>
  </si>
  <si>
    <t>Last Date of Bid Submission</t>
  </si>
  <si>
    <t xml:space="preserve">Tech Opening </t>
  </si>
  <si>
    <t>Tech Presentation</t>
  </si>
  <si>
    <t>Venue visit</t>
  </si>
  <si>
    <t xml:space="preserve">Commercial Opening </t>
  </si>
  <si>
    <t>QCBS</t>
  </si>
  <si>
    <t>MSME Pref</t>
  </si>
  <si>
    <t xml:space="preserve">Tender Fees </t>
  </si>
  <si>
    <t>EMD</t>
  </si>
  <si>
    <t>Status</t>
  </si>
  <si>
    <t xml:space="preserve">Remarks </t>
  </si>
  <si>
    <t xml:space="preserve">Tender Concerns </t>
  </si>
  <si>
    <t>PO received</t>
  </si>
  <si>
    <t>Agreement signed  (Y/N)</t>
  </si>
  <si>
    <t>PBG %</t>
  </si>
  <si>
    <t>Rajan remarks</t>
  </si>
  <si>
    <t>Chintan remark</t>
  </si>
  <si>
    <t>Paresh Remark</t>
  </si>
  <si>
    <t>JIPMER</t>
  </si>
  <si>
    <t>Pondicherry</t>
  </si>
  <si>
    <t>Anbarasu</t>
  </si>
  <si>
    <t>conduct of online computer-based tests (CBT) for recruitment of various posts and admissions to various academic courses of JIPMER, Puducherry
for a period of TWO Years</t>
  </si>
  <si>
    <t>10000-20000</t>
  </si>
  <si>
    <t>2+1</t>
  </si>
  <si>
    <t>16th Feb 2026</t>
  </si>
  <si>
    <t>QCBS 70:30</t>
  </si>
  <si>
    <t xml:space="preserve">Tender getting cancelled </t>
  </si>
  <si>
    <t>client kept this on hold</t>
  </si>
  <si>
    <t>IIBF</t>
  </si>
  <si>
    <t>Mumbai</t>
  </si>
  <si>
    <t>Ashish</t>
  </si>
  <si>
    <t>Request for Proposal (RFP) to Select a Service Provider/s to conduct online Examinations of the Institute across India</t>
  </si>
  <si>
    <t>5+2</t>
  </si>
  <si>
    <t>22nd Jan 2026</t>
  </si>
  <si>
    <t>L1</t>
  </si>
  <si>
    <t>Submitted</t>
  </si>
  <si>
    <t>Tender cancelled</t>
  </si>
  <si>
    <t>SSC</t>
  </si>
  <si>
    <t>Delhi</t>
  </si>
  <si>
    <t>Prashant</t>
  </si>
  <si>
    <t>EOI -Exploring Technologies to Conduct Examinations in Digital Mode</t>
  </si>
  <si>
    <t>17th March 2026</t>
  </si>
  <si>
    <t>submitted</t>
  </si>
  <si>
    <t>Demo date - 30th April 26</t>
  </si>
  <si>
    <t>awaiting tender</t>
  </si>
  <si>
    <t>DGT</t>
  </si>
  <si>
    <t>Vineet</t>
  </si>
  <si>
    <t>EOI -Selection of Service Provider to Conduct End-to-End Computer Based Test
and Engineering Drawing Examination for various schemes of
Directorate General of Training</t>
  </si>
  <si>
    <t>14 lakhs exams</t>
  </si>
  <si>
    <t>30th April 2026</t>
  </si>
  <si>
    <t xml:space="preserve">submitted </t>
  </si>
  <si>
    <t>awaiting the tender for shortlisted vendors - TCS/Aptech/ Eduquity /DEXIT shortlisted</t>
  </si>
  <si>
    <t>Odisha Univ of Agriculture</t>
  </si>
  <si>
    <t>Bhubaneshwar</t>
  </si>
  <si>
    <t>Deepak</t>
  </si>
  <si>
    <t>RPF for conduct of Entrance Exam</t>
  </si>
  <si>
    <t>40000 + 1500</t>
  </si>
  <si>
    <t>25th March 2026</t>
  </si>
  <si>
    <t xml:space="preserve">Lost the Bid </t>
  </si>
  <si>
    <t xml:space="preserve">TCS/Walrus/DEXIT - TCS Won </t>
  </si>
  <si>
    <t>EDCIL</t>
  </si>
  <si>
    <t>Budgetary quote for Tablet Exam</t>
  </si>
  <si>
    <t>1st April 2026</t>
  </si>
  <si>
    <t>Empanelment</t>
  </si>
  <si>
    <t xml:space="preserve">Got the Tender </t>
  </si>
  <si>
    <t>Technology Development Board (TDB) with</t>
  </si>
  <si>
    <t xml:space="preserve"> Conduct of COMPUTER BASED TEST) FOR WISE-IPR (2026)</t>
  </si>
  <si>
    <t>2000-5000</t>
  </si>
  <si>
    <t>13th April 26</t>
  </si>
  <si>
    <t>27th April 2026</t>
  </si>
  <si>
    <t>7th May 2026</t>
  </si>
  <si>
    <t>12th May 2026</t>
  </si>
  <si>
    <t>Awaiting PO</t>
  </si>
  <si>
    <t xml:space="preserve">Scope/DEXIT/Edutest - only DEXIT Qualified . </t>
  </si>
  <si>
    <t>Central Univ of HP</t>
  </si>
  <si>
    <t>Dharamshala,</t>
  </si>
  <si>
    <t>RFP) FOR HIRING OF REMOTE PROCTORING -RP and OSM
EXAMINATION SERVICES FOR CENTRE FOR DISTANCE AND ONLINE EDUCATION,
(CDOE)</t>
  </si>
  <si>
    <t>20000 candidates per exam cycle</t>
  </si>
  <si>
    <t>18th April 2026</t>
  </si>
  <si>
    <t>QCBS | 75: 25</t>
  </si>
  <si>
    <t xml:space="preserve">not submitted </t>
  </si>
  <si>
    <t xml:space="preserve">Not proceeding due to criteria and legal concerns </t>
  </si>
  <si>
    <t>Consortium not  allowed and bidder to own the software</t>
  </si>
  <si>
    <t>Indian Council Of Medical Research (icmr)</t>
  </si>
  <si>
    <t>Conduct of CET for ICMR-NIVCR</t>
  </si>
  <si>
    <t>29th April 2026</t>
  </si>
  <si>
    <t>Yes</t>
  </si>
  <si>
    <t>Queries emailed to client -to attender pre-bid meeting</t>
  </si>
  <si>
    <t xml:space="preserve">MSME clause, small volume </t>
  </si>
  <si>
    <t>Lala Ram Swarup Institute Of Tuberculosis And Respiratory
Diseases</t>
  </si>
  <si>
    <t>Request for Proposal For
Identification of Bidder(s) To conduct
Computer Based Test (CBT) For
National Institute of Tuberculosis &amp; Respiratory Diseases
(NITRD)</t>
  </si>
  <si>
    <t>1+4</t>
  </si>
  <si>
    <t xml:space="preserve">Under Tech Evaluation  </t>
  </si>
  <si>
    <t>EMPANELMENT OF AGENCIES IN CONTEXT OF DIGITAL EVALUATION SYSTEM OF ANSWER BOOKS (On Screen Marking) FOR VARIOUS CLIENTS OF EdCIL</t>
  </si>
  <si>
    <t>2+1+1</t>
  </si>
  <si>
    <t>15th April 2026</t>
  </si>
  <si>
    <t>19th May 2026, 1:00pm</t>
  </si>
  <si>
    <t>not submitted</t>
  </si>
  <si>
    <t>OSM proofs reqd; OSM partner not meeting eligiblilty criteria</t>
  </si>
  <si>
    <t>MP Open Univ</t>
  </si>
  <si>
    <t>Bhopal</t>
  </si>
  <si>
    <t xml:space="preserve">Online/Digital Evaluation of Answer Scripts </t>
  </si>
  <si>
    <t>21st April 2026</t>
  </si>
  <si>
    <t>QCBS |70:30</t>
  </si>
  <si>
    <t>under process</t>
  </si>
  <si>
    <t>Awaiting client response - concerns on criteria reg PSU vendor</t>
  </si>
  <si>
    <t>IISC</t>
  </si>
  <si>
    <t xml:space="preserve">Bangalore </t>
  </si>
  <si>
    <t>LMS for Cyber Security</t>
  </si>
  <si>
    <t>10000+</t>
  </si>
  <si>
    <t>22nd April 2026</t>
  </si>
  <si>
    <t>not proceeding as CL cannot provide the solution</t>
  </si>
  <si>
    <t>NIOS</t>
  </si>
  <si>
    <t>Noida</t>
  </si>
  <si>
    <t>LMS for Training  on AI</t>
  </si>
  <si>
    <t>23rd April 2026</t>
  </si>
  <si>
    <t>Rural health  Training center</t>
  </si>
  <si>
    <t>Conduct of CBT -</t>
  </si>
  <si>
    <t>5 month</t>
  </si>
  <si>
    <t>24th April 2026</t>
  </si>
  <si>
    <t xml:space="preserve">Queries emailed to client </t>
  </si>
  <si>
    <t>Directorate of Teacher Education (TE) &amp; State Council of Educational Research &amp; Training (SCERT), Odisha</t>
  </si>
  <si>
    <t>selection of a Service Provider for conducting Online Computer-Based Test (CBT) examinations for admission into teacher education programmes (D.El.Ed).</t>
  </si>
  <si>
    <t>2 years</t>
  </si>
  <si>
    <t>23rd April 26</t>
  </si>
  <si>
    <t>6th May 2026</t>
  </si>
  <si>
    <t xml:space="preserve">DEXIT/ Aptech  - Aptech won </t>
  </si>
  <si>
    <t>NIELIT</t>
  </si>
  <si>
    <t>Conduct of exam using NIELIT Software</t>
  </si>
  <si>
    <t>150000+</t>
  </si>
  <si>
    <t>1+1</t>
  </si>
  <si>
    <t>Profitable clause - last 3 years</t>
  </si>
  <si>
    <t>South Central Railway</t>
  </si>
  <si>
    <t>Digital Univ Kerela</t>
  </si>
  <si>
    <t>Thiruvananthapuram</t>
  </si>
  <si>
    <t>RFP FOR CONDUCTING
AI AND HUMAN PROCTORED ONLINE TESTS
FOR
DUAT AND DRAT ENTRANCE TEST OF DUK</t>
  </si>
  <si>
    <t>28th April 2026</t>
  </si>
  <si>
    <t>Consortium not allowed</t>
  </si>
  <si>
    <t>Empanelment of Service Providers for conduct of Tablet Based Digital OMR Test
For Various Clients of EdCIL</t>
  </si>
  <si>
    <t>26th May, 15:00hrs</t>
  </si>
  <si>
    <t>Under Tech Evaluation  -
Vensysco / DEXIT - Demo on 22nd July</t>
  </si>
  <si>
    <t>MP board of secondary education</t>
  </si>
  <si>
    <t>Tender for Digital Evaluation System</t>
  </si>
  <si>
    <t>IIFT</t>
  </si>
  <si>
    <t>Tender for Registration Portal and CBT</t>
  </si>
  <si>
    <t>4th April 2026</t>
  </si>
  <si>
    <t>Yes L1+15%</t>
  </si>
  <si>
    <t>clear pref for MSME</t>
  </si>
  <si>
    <t>IIT Madras- NPTEL</t>
  </si>
  <si>
    <t>chennai</t>
  </si>
  <si>
    <t>Price bid for 10th May drive</t>
  </si>
  <si>
    <t xml:space="preserve">2 months </t>
  </si>
  <si>
    <t>1st May 2026</t>
  </si>
  <si>
    <t xml:space="preserve">Won the bid </t>
  </si>
  <si>
    <t>WO received</t>
  </si>
  <si>
    <t>DAE- Mumbai</t>
  </si>
  <si>
    <t>tender for end-to-end conduct of Computer-Based Online Examination (CBT) for recruitment of JPA/JSK posts</t>
  </si>
  <si>
    <t>28th May 2026</t>
  </si>
  <si>
    <t>Select a Service Provider to Conduct Hosted model Internet Based Online Examinations of the Institute Across India</t>
  </si>
  <si>
    <t>13th May 2026</t>
  </si>
  <si>
    <t>Won the Tender
L&amp;T/Sify/DEXIT =</t>
  </si>
  <si>
    <t>BARC</t>
  </si>
  <si>
    <t>Tender document for
Bhabha Atomic Research Centre Training School (BARC TS)
All India Computer Based Online Screening Test (CBT) for
recruitment of Engineering Graduates and Science Post
Graduates for OCES/DGFS &amp; induction of Engineering and
Science Post Graduate for DDFS/JRF Academic programme–
2027 and 2028</t>
  </si>
  <si>
    <t>25th May 2026</t>
  </si>
  <si>
    <t>L1+15%</t>
  </si>
  <si>
    <t>Under Tech Evaluation  Richmind/Satvat/Scope/Aptech/Walrus/Edutest/DEXIT. Tab &amp; Space (Richmind) was L1</t>
  </si>
  <si>
    <t>IIM Bangalore</t>
  </si>
  <si>
    <t>Request for Proposal for selection of Service Provider to Conduct Computer Based Admission Test (CBAT) for Indian Institute of Management Bangalore</t>
  </si>
  <si>
    <t>8th May 2026</t>
  </si>
  <si>
    <t xml:space="preserve">25th May 2026, 16:30hrs </t>
  </si>
  <si>
    <t>26th May</t>
  </si>
  <si>
    <t>Participants- Cyberica/TCS/Edutest/ DEXIT 
Lost to TCS</t>
  </si>
  <si>
    <t>Barkutallah univ</t>
  </si>
  <si>
    <t xml:space="preserve">OSM Tender </t>
  </si>
  <si>
    <t xml:space="preserve">Only PSUs can participate </t>
  </si>
  <si>
    <t>Bharatiya Nabhikiya Vidyut Nigam Limited (BHAVINI)</t>
  </si>
  <si>
    <t>Kalpakaam</t>
  </si>
  <si>
    <t>Tender Invited For Sl No 1 Pre Examination Phase Total number of candidates registered , Sl No 2 Examination Phase Total number of Hall tickets released , Sl No 3 Post Examination Phase total number of candidates appeared for exam , Sl No 4 Preparation of Question bank consisting of 100 questions in one set for level 1 , Sl No 5 Preparation of Question bank consisting of 100 questions in one set for level 2 , Sl No 6 Skill test for AG typing test computer literacy test , Sl No 7 Skill test for Stenographer typing test, stenography test and computer literacy test .
Examination Service Examination Service Examination Service Examination Service Examination Service Examination Service Examination Service</t>
  </si>
  <si>
    <t xml:space="preserve">27th May, 15:00hrs </t>
  </si>
  <si>
    <t>L1+15%+RA</t>
  </si>
  <si>
    <t>Under Tech evaluation (Probable Edutest/Walrus/RD inst/Dexit/Satvat)</t>
  </si>
  <si>
    <t xml:space="preserve">
Directorate General Of Mines Safety Dgms Ministry Of Labour And Employment</t>
  </si>
  <si>
    <t>Dhanbad</t>
  </si>
  <si>
    <t>Vishwajeet Singh</t>
  </si>
  <si>
    <t xml:space="preserve">Tender Invited For Selection of a Service Provider to design, develop, implement, operate, and maintain a secure, scalable, and government-compliant end-to-end comprehensive digital examination and certification platform for DGMS for a period </t>
  </si>
  <si>
    <t>20th May 2026</t>
  </si>
  <si>
    <t>8th June 2026 21:00hrs</t>
  </si>
  <si>
    <t xml:space="preserve">Tender has been removed from GeM Portal </t>
  </si>
  <si>
    <t>Bihar Technical Service Commission (BTSC)</t>
  </si>
  <si>
    <t xml:space="preserve">Patna </t>
  </si>
  <si>
    <t>Selection of Agency for Providing Computer Based Examination Services for Bihar Technical Service Commission (btsc).</t>
  </si>
  <si>
    <t xml:space="preserve">19th May 2026, 11:00hrs </t>
  </si>
  <si>
    <t xml:space="preserve">5th June 2026 14:00hrs </t>
  </si>
  <si>
    <t>QCBS (70:30)</t>
  </si>
  <si>
    <t>DEXIT/Edutest/Eduquity/ TCS - Edutest disqualified 
Presentation on 19June26. DEXIT was declared H1 and won</t>
  </si>
  <si>
    <t>Directorate Of Purchase And Stores -  Department Of Atomic Energy</t>
  </si>
  <si>
    <t xml:space="preserve">Mumbai </t>
  </si>
  <si>
    <t>Ashish Koul</t>
  </si>
  <si>
    <t>Examination Service - Online; Question Paper Design,
Candidate Registration, Payment Process to be handled by
Service Provider, Provision of Venue, Update Registration,
Question Paper Hosting on Website, Admit Card Proccesing,
Biometric attendance of..</t>
  </si>
  <si>
    <t>28th May 2026,11:00hrs</t>
  </si>
  <si>
    <t xml:space="preserve">27th July 2026,14:00hrs </t>
  </si>
  <si>
    <t>Under Tech Evaluation</t>
  </si>
  <si>
    <t>Controller General of Accounts (CGA), Ministry of Finance</t>
  </si>
  <si>
    <t>New Delhi</t>
  </si>
  <si>
    <t>Prashant Sharma</t>
  </si>
  <si>
    <t>Tender for conduct of Computer-Based Test (CBT) examinations for departmental examinations including the Assistant Accounts Officer (Civil) Examination</t>
  </si>
  <si>
    <t xml:space="preserve">26th May 2026,14:00hrs </t>
  </si>
  <si>
    <t xml:space="preserve">9th June 2026, 13:00hrs </t>
  </si>
  <si>
    <t>Under Tech Evaluation  8 participants.  Demo on 5th Aug</t>
  </si>
  <si>
    <t>The Assam Agricultural University (AAU)</t>
  </si>
  <si>
    <t xml:space="preserve">Jorhat </t>
  </si>
  <si>
    <t>Vineet Thomas</t>
  </si>
  <si>
    <t>For the conduct of Computer Based Online Entrance Examination - 2026-27</t>
  </si>
  <si>
    <t xml:space="preserve">Not mentioned </t>
  </si>
  <si>
    <t>Need to check the official website for more information</t>
  </si>
  <si>
    <t>28th May 2026, 16:00hrs</t>
  </si>
  <si>
    <t>NA</t>
  </si>
  <si>
    <t>Lost on Pricing -Diversified/Nextra/Hubblebox/DEXIT</t>
  </si>
  <si>
    <t>Arignar Anna Zoological Park (AAZP), Chennai, Tamil Nadu Forest Department</t>
  </si>
  <si>
    <t xml:space="preserve">Chennai </t>
  </si>
  <si>
    <t>Development of an Online Application and Registration System (OARS) for recruitment at Zoo Authority of Tamil Nadu, including candidate registration, application processing, payment gateway integration, admit card generation, helpdesk support, result processing, publication, and MIS reporting</t>
  </si>
  <si>
    <t>Not mentioned</t>
  </si>
  <si>
    <t xml:space="preserve">3 months </t>
  </si>
  <si>
    <t>17th June 2026</t>
  </si>
  <si>
    <t>L1- cut off 70</t>
  </si>
  <si>
    <t>17 participants. Demo and Presentation on 27June26
Meta I = L1</t>
  </si>
  <si>
    <t>Indian Coast Guard</t>
  </si>
  <si>
    <t xml:space="preserve">Noida </t>
  </si>
  <si>
    <t>Provision of online examination services including question paper design, candidate registration, payment processing, venue provision, registration management, question paper hosting, and admit card processing. Examination Service - Online, Question Paper Design, Candidate Registration, Payment Process, Provision of Venue, Withdrawal of Registration, Update Registration, Question Paper Hosting, Admit Card Processing</t>
  </si>
  <si>
    <t xml:space="preserve">10th June 2026, 11:00hrs </t>
  </si>
  <si>
    <t xml:space="preserve">25th June 2026, 16:00hrs </t>
  </si>
  <si>
    <t xml:space="preserve">Under Tech Evaluation  8 participants. Technically disqualified </t>
  </si>
  <si>
    <t>Agricultural Scientists Recruitment Board (ASRB)</t>
  </si>
  <si>
    <t>Tender Invited For Examination Service - Online; Payment Process to be handled by Service Provider, Provision of Venue</t>
  </si>
  <si>
    <t xml:space="preserve">16th June 2026, 15:00hrs </t>
  </si>
  <si>
    <t xml:space="preserve">8th July 2026, 16:00hrs </t>
  </si>
  <si>
    <t>did not submit</t>
  </si>
  <si>
    <t>unable to participate due to criteria limitation</t>
  </si>
  <si>
    <t xml:space="preserve"> Acharya Harihar Post Graduate Institute of Cancer </t>
  </si>
  <si>
    <t>Cuttack</t>
  </si>
  <si>
    <t>Computer based recruitment exam</t>
  </si>
  <si>
    <t>116 posts</t>
  </si>
  <si>
    <t>30th June 2026</t>
  </si>
  <si>
    <t>12th Aug 2026</t>
  </si>
  <si>
    <t>Only PSU or Odisha Govt Empanelled allowed</t>
  </si>
  <si>
    <t>DGMS</t>
  </si>
  <si>
    <t>prashant</t>
  </si>
  <si>
    <t>Tablet based exam</t>
  </si>
  <si>
    <t>24th June 2026</t>
  </si>
  <si>
    <t>6th July 2026</t>
  </si>
  <si>
    <t>10 participants</t>
  </si>
  <si>
    <t>Directorate of Public Instruction</t>
  </si>
  <si>
    <t>Chattisgarh</t>
  </si>
  <si>
    <t>Selection of Agency for End-to-End Computer Based Recruitment Examination Services</t>
  </si>
  <si>
    <t>1st July 2026</t>
  </si>
  <si>
    <t>27th July 2026</t>
  </si>
  <si>
    <t>Tech presentation completed on 5thAug26, 3 participants -Scope, Vensysco, DEXIT</t>
  </si>
  <si>
    <t>MHCET</t>
  </si>
  <si>
    <t>Selection of an Agency for Conduct of Computer-Based Online Common Entrance Test (CET) and Centralized Admission Process (CAP) for State CET Cell, Maharashtra</t>
  </si>
  <si>
    <t>18 lakhs</t>
  </si>
  <si>
    <t>3+2</t>
  </si>
  <si>
    <t>8th July 2026</t>
  </si>
  <si>
    <t xml:space="preserve">1,65,00,000 </t>
  </si>
  <si>
    <t xml:space="preserve">Pre-bid queries response released </t>
  </si>
  <si>
    <t>Goa Public Service Commission (GPSC)</t>
  </si>
  <si>
    <t>Goa</t>
  </si>
  <si>
    <t>For Implementation of Computer Based Examination System for Goa Public Service Commission (GPSC)</t>
  </si>
  <si>
    <t>3rd Aug  2026</t>
  </si>
  <si>
    <t>3000 + 3000</t>
  </si>
  <si>
    <t xml:space="preserve">Tech presentation completed on 7thAug26, 4 participants -Cyberica, Nysa, Scope and DEXIT. Scope disqualified </t>
  </si>
  <si>
    <t>RRB</t>
  </si>
  <si>
    <t>Chennai</t>
  </si>
  <si>
    <t>Engaging Exam Conducting Agency(s) to conduct Computer
Based Test and all other related services like processing of
Results and Panel etc. of Railway Recruitment Boards in
connection with recruitment of various posts of 7th CPC Pay
Matrix for various Centralized Employment Notifications (CENs)</t>
  </si>
  <si>
    <t>17th July 2026</t>
  </si>
  <si>
    <t>10th Aug 2026</t>
  </si>
  <si>
    <t>pre bid queries response not changed- tech criteria a concern</t>
  </si>
  <si>
    <t>NTPC</t>
  </si>
  <si>
    <t>Chhattisgarh</t>
  </si>
  <si>
    <t>Hiring of Agency for Conduct of Computer Based Test (CBT) for Recruitment of Diploma Engineer Trainees (DET) and ITI Trainees (Backlog Vacancy) for NTPC Khargone, Lara &amp; Gadarwara.</t>
  </si>
  <si>
    <t>10th July 2026</t>
  </si>
  <si>
    <t>Closed bid</t>
  </si>
  <si>
    <t>UPCAR</t>
  </si>
  <si>
    <t>Lucknow</t>
  </si>
  <si>
    <t>Vishwajeet</t>
  </si>
  <si>
    <t>Selection of Service Provider for Design, Development, Customization, Implementation and Conduct of Computer Based or Offline Examination and related activities for Direct Recruitment of Different Posts in UPCAR, Lucknow.</t>
  </si>
  <si>
    <t>21st July 2026</t>
  </si>
  <si>
    <t>QCBS 80:20</t>
  </si>
  <si>
    <t>KEONICS</t>
  </si>
  <si>
    <t>Anand</t>
  </si>
  <si>
    <t>Request for Proposal for Selection of Service Provider for the Design, Development, Testing, Commissioning and Conducting Online Computer Literacy Test (CLT) and Digital Certification System for Government Officials and Staff of Boards and Corporations of Government of Karnataka</t>
  </si>
  <si>
    <t>15th July 2026</t>
  </si>
  <si>
    <t>17th Aug 2026</t>
  </si>
  <si>
    <t xml:space="preserve">8,69,400 </t>
  </si>
  <si>
    <t xml:space="preserve">Submitted </t>
  </si>
  <si>
    <t>AIIMS</t>
  </si>
  <si>
    <t>Deogarh</t>
  </si>
  <si>
    <t>Exam Suites Digital Tab System for conducting Paperless
Digital Examinations</t>
  </si>
  <si>
    <t>300 tablets</t>
  </si>
  <si>
    <t>31st July 2026</t>
  </si>
  <si>
    <t>L1+ 15%</t>
  </si>
  <si>
    <t>during the pre bid meeting client confirmed it’s a purchase order for 300 tablets and AMC for 5 years</t>
  </si>
  <si>
    <t>TNPSC</t>
  </si>
  <si>
    <t>Open Tender for Conducting Computer Based Test (CBT) of Examinations for Departmental and Direct Recruitment Examinations conducted by the Tamil Nadu Public Service Commission (TNPSC), Chennai</t>
  </si>
  <si>
    <t>30th July 2026</t>
  </si>
  <si>
    <t xml:space="preserve">Diqualified </t>
  </si>
  <si>
    <t>Technically disqualified for ISO 22301</t>
  </si>
  <si>
    <t>Protection of Plant Varieties and Farmers' Rights Authority (PPVFRA), Ministry of Agriculture &amp; Farmers Welfare</t>
  </si>
  <si>
    <t>End-to-end recruitment services for 16 posts including online application, CBT, result processing, and merit list preparation</t>
  </si>
  <si>
    <t>14th Aug 2026</t>
  </si>
  <si>
    <t>Client has not changed the PSU status</t>
  </si>
  <si>
    <t>Directorate of Technical Education||Govt. Engineering College - DOTE||Government College of
Engineering - Tirunelveli</t>
  </si>
  <si>
    <t>Tirunelveli</t>
  </si>
  <si>
    <t>Supply, implementation, installation, and support of an Examination Management System Software (EMSS) comprising Curriculum Management, Programme Management, Student Data Management, and Controller of Examinations (COE) modules for end-to-end examination and academic administration</t>
  </si>
  <si>
    <t>6th Aug 2026</t>
  </si>
  <si>
    <t xml:space="preserve">Adikavi Sri Maharshi Valmiki University (ASMVU), </t>
  </si>
  <si>
    <t>Raichur</t>
  </si>
  <si>
    <t>End-to-end AI-enabled Digital Evaluation (On-Screen Marking) including answer script scanning &amp; digitization, AI-based live proctoring, online/on-premise evaluation, moderation, re-evaluation, result processing, and managed services.</t>
  </si>
  <si>
    <t xml:space="preserve">3 lakhs script </t>
  </si>
  <si>
    <t>1+3</t>
  </si>
  <si>
    <t>25th Aug 2026</t>
  </si>
  <si>
    <t>Open to OEMs from Karnataka</t>
  </si>
  <si>
    <t>IIT Madras- GATE</t>
  </si>
  <si>
    <t>CONDUCTING COMPUTER BASED TEST FOR GATE 2027 EXAMINATION</t>
  </si>
  <si>
    <t>20th Aug 2026</t>
  </si>
  <si>
    <t>BSSC</t>
  </si>
  <si>
    <t>Selection of an agency to conduct end-to-end CBT examinations for recruitment processes</t>
  </si>
  <si>
    <t>7th Aug 2026</t>
  </si>
  <si>
    <t>28th Aug 2026</t>
  </si>
  <si>
    <t>AWS</t>
  </si>
  <si>
    <t xml:space="preserve">Conduct of Online Screening Test </t>
  </si>
  <si>
    <t>60000-100000</t>
  </si>
  <si>
    <t>5+3</t>
  </si>
  <si>
    <t>24th Aug 2026</t>
  </si>
  <si>
    <t>1st Sept 2026</t>
  </si>
  <si>
    <t>QCBS (65:35)</t>
  </si>
  <si>
    <t>MRB</t>
  </si>
  <si>
    <t>Online tender for selection of a system implementation partner (sip) for end-to-end recruitment services, including online application registration and conduct of computer-based test (cbt) for recruitment of medical and allied health services for government medical institutions in Tamil Nadu for a period of three (3) years.</t>
  </si>
  <si>
    <t>18th Aug 2026</t>
  </si>
  <si>
    <t>NTPCS</t>
  </si>
  <si>
    <t>Outsourcing of service for RECRUITMENT OF Executives in HR / Law/ O&amp;M</t>
  </si>
  <si>
    <t>6 months</t>
  </si>
  <si>
    <t>21st August 2026</t>
  </si>
  <si>
    <t xml:space="preserve">Limited Tender </t>
  </si>
  <si>
    <t>ICAI</t>
  </si>
  <si>
    <t>INTEGRATED EXAMINATION MANAGEMENT PORTAL FOR ICAI</t>
  </si>
  <si>
    <t>lumpsum</t>
  </si>
  <si>
    <t>9th Sept 2024</t>
  </si>
  <si>
    <t>QCBS (20:80)</t>
  </si>
  <si>
    <t>Portal devpt project</t>
  </si>
  <si>
    <t>Selection of Service Provider(s) to Conduct Online Examinations, i.e. Computer Based Test (CBT), of the Institute in Centre-Based Mode Across India</t>
  </si>
  <si>
    <t>12 lakhs</t>
  </si>
  <si>
    <t>5th Sept 2024</t>
  </si>
  <si>
    <t>Sr. No.</t>
  </si>
  <si>
    <t xml:space="preserve">Details </t>
  </si>
  <si>
    <t>PreSales Target 
(number of Tenders)</t>
  </si>
  <si>
    <t>Number of Tenders since 1st April 26</t>
  </si>
  <si>
    <t>Remarks</t>
  </si>
  <si>
    <t>Target for PreSales  Tenders to be processed in 2026-27</t>
  </si>
  <si>
    <t xml:space="preserve">As per Abhay's mail  dated 6th April26 </t>
  </si>
  <si>
    <t>Total Number of Tenders Processed by Pre-Sales (Including tender review, preparation of pre-bid queries, corrigendum review, and communication of updates to stakeholders)</t>
  </si>
  <si>
    <t xml:space="preserve">Tenders Qualified and Submitted </t>
  </si>
  <si>
    <t>WON =2 (TDB PO awaited)
Lost = 4
Client  cancelled = 1
Under Evaluation =10</t>
  </si>
  <si>
    <t>Tenders we didn’t qualify</t>
  </si>
  <si>
    <t>Consortium Clause for OSM/LMS, PSU Clause (prior to MKCL tie-up)</t>
  </si>
  <si>
    <t>Empanelment Tenders</t>
  </si>
  <si>
    <t>Empanelled for Limited Tender</t>
  </si>
  <si>
    <t>Tender cancelled by Client</t>
  </si>
  <si>
    <t>Tenders currently under process</t>
  </si>
  <si>
    <t xml:space="preserve">Tender Target pending </t>
  </si>
  <si>
    <t>2021-22</t>
  </si>
  <si>
    <t>Total Qualified Tenders</t>
  </si>
  <si>
    <t>did not participate</t>
  </si>
  <si>
    <t>Cancelled</t>
  </si>
  <si>
    <t>Under process</t>
  </si>
  <si>
    <t>TOTAL</t>
  </si>
  <si>
    <t>Won</t>
  </si>
  <si>
    <t xml:space="preserve">Disqualified </t>
  </si>
  <si>
    <t>Lost</t>
  </si>
  <si>
    <t>Under evaluation</t>
  </si>
  <si>
    <t>EOI</t>
  </si>
  <si>
    <t>cancelled</t>
  </si>
  <si>
    <t>Conversion %</t>
  </si>
  <si>
    <t>Success %</t>
  </si>
  <si>
    <t>ACV (₹ Cr)</t>
  </si>
  <si>
    <t>Unmapped – no verified source match</t>
  </si>
  <si>
    <t>Review – probable match</t>
  </si>
  <si>
    <t>Mapped – High confidence</t>
  </si>
  <si>
    <t>Exact match: IIBF hosted-model Internet Based Exam; 1.5L volume; 5-year term; value 90L; TCV 4.5 Cr.</t>
  </si>
  <si>
    <t>Exact account/tender match: BHAVINI; 20K–22K volume range; 1-year term; ACV=TCV 0.60 Cr.</t>
  </si>
  <si>
    <t>Exact match: DPS/DAE examination service; 3-year term; ACV 2.5 Cr, TCV 7.5 Cr.</t>
  </si>
  <si>
    <t>Exact match: CGA CBT; 7.5K volume; 3-year tenure; ACV 0.25 Cr, TCV 0.75 Cr.</t>
  </si>
  <si>
    <t>Strong match: Directorate of Public Instruction CBT; 1L volume; source says value 3.4 Cr, TCV 6.8 Cr. Main file shows 2+1; source values appear to cover the stated 2-year base term, not optional extension.</t>
  </si>
  <si>
    <t>Exact match: Goa PSC; 10K volume; 5-year tenure; ACV 0.50 Cr, TCV 2.50 Cr.</t>
  </si>
  <si>
    <t>Strong match: AIIMS Deoghar tablet exam; 1K candidates / 300 tablets; one-year term; ACV=TCV 0.05 Cr.</t>
  </si>
  <si>
    <t>Strong match: IIT Madras GATE 2027; 1-year term; source states approx. value 5 Cr.</t>
  </si>
  <si>
    <t>Exact match: IIBF CBT Recruitment Exam; 12L volume; 5-year base term; ACV 30 Cr, TCV 150 Cr. Main file shows 5+2; optional extension is not included in source TCV.</t>
  </si>
  <si>
    <t>Main Tender Detail</t>
  </si>
  <si>
    <t>Mapping Status</t>
  </si>
  <si>
    <t>TCV (₹ Cr)</t>
  </si>
  <si>
    <t>Source Workbook</t>
  </si>
  <si>
    <t>Source Sheet</t>
  </si>
  <si>
    <t>Source Row</t>
  </si>
  <si>
    <t>Audit / Decision Notes</t>
  </si>
  <si>
    <t>Value field</t>
  </si>
  <si>
    <t>Definition / mapping rule</t>
  </si>
  <si>
    <t>conduct of online computer-based tests (CBT) for recruitment of various posts and admissions to various academic courses of JIPMER, Puducherry for a period of TWO Years</t>
  </si>
  <si>
    <t>August 26 Client Segmentation Overview.xlsx</t>
  </si>
  <si>
    <t>No sufficiently precise tender-level match found; intentionally left unmapped to avoid false attribution.</t>
  </si>
  <si>
    <t>ACV</t>
  </si>
  <si>
    <t>Annual Contract Value: normalized annual value for a recurring/multi-year contract. For one-time / one-year awards, ACV generally equals TCV.</t>
  </si>
  <si>
    <t>TCV</t>
  </si>
  <si>
    <t>Total Contract Value over the stated base contract term. Optional extension years are included only when the source explicitly values them.</t>
  </si>
  <si>
    <t>Primary main-sheet value</t>
  </si>
  <si>
    <t>Contract Value (TCV, ₹ Cr) is populated only for high-confidence tender-level matches.</t>
  </si>
  <si>
    <t>EOI -Selection of Service Provider to Conduct End-to-End Computer Based Test and Engineering Drawing Examination for various schemes of Directorate General of Training</t>
  </si>
  <si>
    <t>Review matches</t>
  </si>
  <si>
    <t>Probable matches are documented in this audit sheet with suggested ACV/TCV but left blank in the main Tenders sheet until manually confirmed.</t>
  </si>
  <si>
    <t>Units</t>
  </si>
  <si>
    <t>The structured ACV/TCV columns in the source workbook are in ₹ Cr. Narrative remarks sometimes use inconsistent labels such as '.12 L' for 0.12 Cr; structured numeric columns are treated as authoritative where match is clear.</t>
  </si>
  <si>
    <t>Significant Tender Opportunity</t>
  </si>
  <si>
    <t>Possible match to EDCIL Tablet Exam. Main file has 2L candidates / 2 years; source has 1L volume and value 10 Cr. Needs manual confirmation before aggregation.</t>
  </si>
  <si>
    <t>No inference</t>
  </si>
  <si>
    <t>We do not reverse-calculate TCV from ACV × tenure when the source does not state the TCV, and we do not value optional extensions unless the source provides that value.</t>
  </si>
  <si>
    <t>Conduct of COMPUTER BASED TEST) FOR WISE-IPR (2026)</t>
  </si>
  <si>
    <t>Goal</t>
  </si>
  <si>
    <t>Maximize tender-level accuracy and prevent false aggregation in the Tender Intelligence dashboard.</t>
  </si>
  <si>
    <t>RFP) FOR HIRING OF REMOTE PROCTORING -RP and OSM EXAMINATION SERVICES FOR CENTRE FOR DISTANCE AND ONLINE EDUCATION, (CDOE)</t>
  </si>
  <si>
    <t>Contract Value (Primary)</t>
  </si>
  <si>
    <t>Uses TCV where sourced; if TCV is not stated but ACV is stated, it uses ACV and the audit sheet explicitly indicates that basis.</t>
  </si>
  <si>
    <t>Request for Proposal For Identification of Bidder(s) To conduct Computer Based Test (CBT) For National Institute of Tuberculosis &amp; Respiratory Diseases (NITRD)</t>
  </si>
  <si>
    <t>Online/Digital Evaluation of Answer Scripts</t>
  </si>
  <si>
    <t>RFP FOR CONDUCTING AI AND HUMAN PROCTORED ONLINE TESTS FOR DUAT AND DRAT ENTRANCE TEST OF DUK</t>
  </si>
  <si>
    <t>Empanelment of Service Providers for conduct of Tablet Based Digital OMR Test For Various Clients of EdCIL</t>
  </si>
  <si>
    <t>Q1+July Buisness Development</t>
  </si>
  <si>
    <t>Possible match to IITM-NPTEL May exam drive. Source says 9K candidates and 42.66L value; main file is specifically the 10 May drive. Needs confirmation that the value belongs to this exact bid.</t>
  </si>
  <si>
    <t>Tender document for Bhabha Atomic Research Centre Training School (BARC TS) All India Computer Based Online Screening Test (CBT) for recruitment of Engineering Graduates and Science Post Graduates for OCES/DGFS &amp; inducti…</t>
  </si>
  <si>
    <t>OSM Tender</t>
  </si>
  <si>
    <t>Tender Invited For Sl No 1 Pre Examination Phase Total number of candidates registered , Sl No 2 Examination Phase Total number of Hall tickets released , Sl No 3 Post Examination Phase total number of candidates appeare…</t>
  </si>
  <si>
    <t>Directorate General Of Mines Safety Dgms Ministry Of Labour And Employment</t>
  </si>
  <si>
    <t>Tender Invited For Selection of a Service Provider to design, develop, implement, operate, and maintain a secure, scalable, and government-compliant end-to-end comprehensive digital examination and certification platform…</t>
  </si>
  <si>
    <t>Possible match to BTSC award. Source says ACV 10 Cr / TCV 20 Cr, 2+1 years, but main file has 15L candidates and 2 years. Needs confirmation.</t>
  </si>
  <si>
    <t>Examination Service - Online; Question Paper Design, Candidate Registration, Payment Process to be handled by Service Provider, Provision of Venue, Update Registration, Question Paper Hosting on Website, Admit Card Procc…</t>
  </si>
  <si>
    <t>Development of an Online Application and Registration System (OARS) for recruitment at Zoo Authority of Tamil Nadu, including candidate registration, application processing, payment gateway integration, admit card genera…</t>
  </si>
  <si>
    <t>Provision of online examination services including question paper design, candidate registration, payment processing, venue provision, registration management, question paper hosting, and admit card processing. Examinati…</t>
  </si>
  <si>
    <t>Acharya Harihar Post Graduate Institute of Cancer</t>
  </si>
  <si>
    <t>Business Development Highlights</t>
  </si>
  <si>
    <t>Engaging Exam Conducting Agency(s) to conduct Computer Based Test and all other related services like processing of Results and Panel etc. of Railway Recruitment Boards in connection with recruitment of various posts of …</t>
  </si>
  <si>
    <t>Selection of Service Provider for Design, Development, Customization, Implementation and Conduct of Computer Based or Offline Examination and related activities for Direct Recruitment of Different Posts in UPCAR, Lucknow…</t>
  </si>
  <si>
    <t>Request for Proposal for Selection of Service Provider for the Design, Development, Testing, Commissioning and Conducting Online Computer Literacy Test (CLT) and Digital Certification System for Government Officials and …</t>
  </si>
  <si>
    <t>Exam Suites Digital Tab System for conducting Paperless Digital Examinations</t>
  </si>
  <si>
    <t>Supply, implementation, installation, and support of an Examination Management System Software (EMSS) comprising Curriculum Management, Programme Management, Student Data Management, and Controller of Examinations (COE) …</t>
  </si>
  <si>
    <t>Adikavi Sri Maharshi Valmiki University (ASMVU),</t>
  </si>
  <si>
    <t>End-to-end AI-enabled Digital Evaluation (On-Screen Marking) including answer script scanning &amp; digitization, AI-based live proctoring, online/on-premise evaluation, moderation, re-evaluation, result processing, and mana…</t>
  </si>
  <si>
    <t>Likely BSSC match: 2L volume and 5 Cr value, but source states 3-year contract while main file shows 3+2. Do not assume optional 2-year extension value; review before using TCV in forecasting.</t>
  </si>
  <si>
    <t>Conduct of Online Screening Test</t>
  </si>
  <si>
    <t>Online tender for selection of a system implementation partner (sip) for end-to-end recruitment services, including online application registration and conduct of computer-based test (cbt) for recruitment of medical and …</t>
  </si>
  <si>
    <t>Contract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</si>
</sst>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ont>
    <font>
      <b/>
      <sz val="9"/>
      <color theme="1"/>
      <name val="Calibri"/>
    </font>
    <font>
      <sz val="9"/>
      <color theme="1"/>
      <name val="Calibri"/>
    </font>
    <font>
      <b/>
      <sz val="10"/>
      <color theme="1"/>
      <name val="Calibri"/>
    </font>
    <font>
      <b/>
      <sz val="11"/>
      <color theme="1"/>
      <name val="Calibri"/>
    </font>
    <font>
      <sz val="11"/>
      <color theme="1"/>
      <name val="Calibri"/>
    </font>
    <font>
      <b/>
      <sz val="11"/>
      <color theme="0"/>
      <name val="Calibri"/>
    </font>
    <font>
      <b/>
      <sz val="11"/>
      <color rgb="FF2B2F4A"/>
      <name val="Calibri"/>
    </font>
  </fonts>
  <fills count="14">
    <fill>
      <patternFill patternType="none"/>
    </fill>
    <fill>
      <patternFill patternType="gray125"/>
    </fill>
    <fill>
      <patternFill patternType="solid">
        <fgColor theme="3" tint="0.39997558519241921"/>
        <bgColor indexed="65"/>
      </patternFill>
    </fill>
    <fill>
      <patternFill patternType="solid">
        <fgColor rgb="FF92D050"/>
      </patternFill>
    </fill>
    <fill>
      <patternFill patternType="solid">
        <fgColor rgb="FF00B0F0"/>
      </patternFill>
    </fill>
    <fill>
      <patternFill patternType="solid">
        <fgColor rgb="FFFF0000"/>
      </patternFill>
    </fill>
    <fill>
      <patternFill patternType="solid">
        <fgColor rgb="FFFFC000"/>
      </patternFill>
    </fill>
    <fill>
      <patternFill patternType="solid">
        <fgColor rgb="FFFFFF00"/>
      </patternFill>
    </fill>
    <fill>
      <patternFill patternType="solid">
        <fgColor theme="8" tint="0.59996337778862885"/>
        <bgColor indexed="65"/>
      </patternFill>
    </fill>
    <fill>
      <patternFill patternType="solid">
        <fgColor rgb="FF0070C0"/>
      </patternFill>
    </fill>
    <fill>
      <patternFill patternType="solid">
        <fgColor theme="3" tint="0.59996337778862885"/>
        <bgColor indexed="65"/>
      </patternFill>
    </fill>
    <fill>
      <patternFill patternType="solid">
        <fgColor theme="5" tint="0.79995117038483843"/>
        <bgColor indexed="65"/>
      </patternFill>
    </fill>
    <fill>
      <patternFill patternType="solid">
        <fgColor theme="6" tint="0.39997558519241921"/>
        <bgColor indexed="65"/>
      </patternFill>
    </fill>
    <fill>
      <patternFill patternType="solid">
        <fgColor rgb="FFE9E7FF"/>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53">
    <xf numFmtId="0" fontId="0" fillId="0" borderId="0" xfId="0"/>
    <xf numFmtId="0" fontId="2" fillId="0" borderId="1" xfId="0" applyFont="1" applyBorder="1" applyAlignment="1">
      <alignment wrapText="1"/>
    </xf>
    <xf numFmtId="0" fontId="2" fillId="0" borderId="1" xfId="0" applyFont="1" applyBorder="1" applyAlignment="1">
      <alignment horizontal="center"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left" vertical="center" wrapText="1"/>
    </xf>
    <xf numFmtId="0" fontId="0" fillId="0" borderId="1" xfId="0" applyBorder="1"/>
    <xf numFmtId="0" fontId="0" fillId="4" borderId="1" xfId="0" applyFill="1" applyBorder="1"/>
    <xf numFmtId="0" fontId="0" fillId="3" borderId="1" xfId="0" applyFill="1" applyBorder="1"/>
    <xf numFmtId="0" fontId="4" fillId="3" borderId="1" xfId="0" applyFont="1" applyFill="1" applyBorder="1"/>
    <xf numFmtId="0" fontId="4" fillId="4" borderId="1" xfId="0" applyFont="1" applyFill="1" applyBorder="1"/>
    <xf numFmtId="0" fontId="0" fillId="0" borderId="1" xfId="0" applyBorder="1" applyAlignment="1">
      <alignment horizontal="center" vertical="center"/>
    </xf>
    <xf numFmtId="0" fontId="0" fillId="4" borderId="2" xfId="0" applyFill="1" applyBorder="1"/>
    <xf numFmtId="0" fontId="0" fillId="4" borderId="0" xfId="0" applyFill="1"/>
    <xf numFmtId="9" fontId="0" fillId="0" borderId="0" xfId="1" applyFont="1"/>
    <xf numFmtId="0" fontId="3" fillId="2" borderId="1" xfId="0" applyFont="1" applyFill="1" applyBorder="1" applyAlignment="1">
      <alignment horizontal="center" wrapText="1"/>
    </xf>
    <xf numFmtId="0" fontId="2"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9" fontId="2" fillId="0" borderId="1" xfId="0" applyNumberFormat="1" applyFont="1" applyBorder="1" applyAlignment="1">
      <alignment horizontal="left" vertical="top" wrapText="1"/>
    </xf>
    <xf numFmtId="3" fontId="2" fillId="0" borderId="1" xfId="0" applyNumberFormat="1" applyFont="1" applyBorder="1" applyAlignment="1">
      <alignment horizontal="left" vertical="top" wrapText="1"/>
    </xf>
    <xf numFmtId="0" fontId="0" fillId="0" borderId="1" xfId="0" applyBorder="1" applyAlignment="1">
      <alignment horizontal="center" wrapText="1"/>
    </xf>
    <xf numFmtId="0" fontId="4" fillId="0" borderId="1" xfId="0" applyFont="1" applyBorder="1" applyAlignment="1">
      <alignment horizontal="center" wrapText="1"/>
    </xf>
    <xf numFmtId="0" fontId="0" fillId="8" borderId="1" xfId="0" applyFill="1" applyBorder="1" applyAlignment="1">
      <alignment horizontal="center" wrapText="1"/>
    </xf>
    <xf numFmtId="0" fontId="0" fillId="3" borderId="1" xfId="0" applyFill="1" applyBorder="1" applyAlignment="1">
      <alignment horizontal="center" wrapText="1"/>
    </xf>
    <xf numFmtId="0" fontId="0" fillId="7" borderId="1" xfId="0" applyFill="1" applyBorder="1" applyAlignment="1">
      <alignment horizontal="center" wrapText="1"/>
    </xf>
    <xf numFmtId="0" fontId="6" fillId="9" borderId="1" xfId="0" applyFont="1" applyFill="1" applyBorder="1" applyAlignment="1">
      <alignment horizontal="center" wrapText="1"/>
    </xf>
    <xf numFmtId="0" fontId="2" fillId="10" borderId="1" xfId="0" applyFont="1" applyFill="1" applyBorder="1" applyAlignment="1">
      <alignment horizontal="left" vertical="top" wrapText="1"/>
    </xf>
    <xf numFmtId="3" fontId="2" fillId="10" borderId="1" xfId="0" applyNumberFormat="1" applyFont="1" applyFill="1" applyBorder="1" applyAlignment="1">
      <alignment horizontal="left" vertical="top" wrapText="1"/>
    </xf>
    <xf numFmtId="0" fontId="2" fillId="11" borderId="1" xfId="0" applyFont="1" applyFill="1" applyBorder="1" applyAlignment="1">
      <alignment horizontal="left" vertical="top" wrapText="1"/>
    </xf>
    <xf numFmtId="0" fontId="2" fillId="12" borderId="1" xfId="0" applyFont="1" applyFill="1" applyBorder="1" applyAlignment="1">
      <alignment horizontal="left" vertical="top" wrapText="1"/>
    </xf>
    <xf numFmtId="9" fontId="2" fillId="12" borderId="1" xfId="0" applyNumberFormat="1" applyFont="1" applyFill="1" applyBorder="1" applyAlignment="1">
      <alignment horizontal="left" vertical="top" wrapText="1"/>
    </xf>
    <xf numFmtId="3" fontId="2" fillId="12" borderId="1" xfId="0" applyNumberFormat="1" applyFont="1" applyFill="1" applyBorder="1" applyAlignment="1">
      <alignment horizontal="left" vertical="top" wrapText="1"/>
    </xf>
    <xf numFmtId="0" fontId="2" fillId="0" borderId="3" xfId="0" applyFont="1" applyBorder="1" applyAlignment="1">
      <alignment horizontal="left" vertical="top" wrapText="1"/>
    </xf>
    <xf numFmtId="0" fontId="1" fillId="2" borderId="3" xfId="0" applyFont="1" applyFill="1" applyBorder="1" applyAlignment="1">
      <alignment horizontal="left" vertical="top" wrapText="1"/>
    </xf>
    <xf numFmtId="0" fontId="2" fillId="5" borderId="3" xfId="0" applyFont="1" applyFill="1" applyBorder="1" applyAlignment="1">
      <alignment horizontal="left" vertical="top" wrapText="1"/>
    </xf>
    <xf numFmtId="0" fontId="2" fillId="6" borderId="3" xfId="0" applyFont="1" applyFill="1" applyBorder="1" applyAlignment="1">
      <alignment horizontal="left" vertical="top" wrapText="1"/>
    </xf>
    <xf numFmtId="0" fontId="2" fillId="10" borderId="3" xfId="0" applyFont="1" applyFill="1" applyBorder="1" applyAlignment="1">
      <alignment horizontal="left" vertical="top" wrapText="1"/>
    </xf>
    <xf numFmtId="0" fontId="2" fillId="11" borderId="3" xfId="0" applyFont="1" applyFill="1" applyBorder="1" applyAlignment="1">
      <alignment horizontal="left" vertical="top" wrapText="1"/>
    </xf>
    <xf numFmtId="0" fontId="2" fillId="12" borderId="3" xfId="0" applyFont="1" applyFill="1" applyBorder="1" applyAlignment="1">
      <alignment horizontal="left" vertical="top" wrapText="1"/>
    </xf>
    <xf numFmtId="0" fontId="7" fillId="13" borderId="0" xfId="0" applyFont="1" applyFill="1" applyAlignment="1">
      <alignment horizontal="center" vertical="center" wrapText="1"/>
    </xf>
    <xf numFmtId="2" fontId="0" fillId="0" borderId="0" xfId="0" applyNumberFormat="1" applyAlignment="1">
      <alignment wrapText="1"/>
    </xf>
    <xf numFmtId="0" fontId="0" fillId="0" borderId="0" xfId="0" applyAlignment="1">
      <alignment wrapText="1"/>
    </xf>
    <xf numFmtId="2" fontId="2" fillId="11" borderId="3" xfId="0" applyNumberFormat="1" applyFont="1" applyFill="1" applyBorder="1" applyAlignment="1">
      <alignment horizontal="left" vertical="top" wrapText="1"/>
    </xf>
    <xf numFmtId="2" fontId="2" fillId="10" borderId="3" xfId="0" applyNumberFormat="1" applyFont="1" applyFill="1" applyBorder="1" applyAlignment="1">
      <alignment horizontal="left" vertical="top" wrapText="1"/>
    </xf>
    <xf numFmtId="2" fontId="2" fillId="12" borderId="3" xfId="0" applyNumberFormat="1" applyFont="1" applyFill="1" applyBorder="1" applyAlignment="1">
      <alignment horizontal="left" vertical="top" wrapText="1"/>
    </xf>
    <xf numFmtId="2" fontId="2" fillId="0" borderId="3" xfId="0" applyNumberFormat="1" applyFont="1"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center" vertical="center" wrapText="1"/>
    </xf>
  </cellXfs>
  <cellStyles count="2">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2374900</xdr:colOff>
      <xdr:row>12</xdr:row>
      <xdr:rowOff>190500</xdr:rowOff>
    </xdr:to>
    <xdr:sp macro="" textlink="">
      <xdr:nvSpPr>
        <xdr:cNvPr id="1026" name="Text Box 2" hidden="1">
          <a:extLst>
            <a:ext uri="{FF2B5EF4-FFF2-40B4-BE49-F238E27FC236}">
              <a16:creationId xmlns:a16="http://schemas.microsoft.com/office/drawing/2014/main" id="{9BAE7256-8FF8-B8A5-D803-E6CA552AB6B3}"/>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2374900</xdr:colOff>
      <xdr:row>12</xdr:row>
      <xdr:rowOff>190500</xdr:rowOff>
    </xdr:to>
    <xdr:sp macro="" textlink="">
      <xdr:nvSpPr>
        <xdr:cNvPr id="2" name="AutoShape 2">
          <a:extLst>
            <a:ext uri="{FF2B5EF4-FFF2-40B4-BE49-F238E27FC236}">
              <a16:creationId xmlns:a16="http://schemas.microsoft.com/office/drawing/2014/main" id="{0B8DF420-5938-8B9B-FB6B-B42C05EAAFAD}"/>
            </a:ext>
          </a:extLst>
        </xdr:cNvPr>
        <xdr:cNvSpPr>
          <a:spLocks noChangeArrowheads="1"/>
        </xdr:cNvSpPr>
      </xdr:nvSpPr>
      <xdr:spPr bwMode="auto">
        <a:xfrm>
          <a:off x="0" y="0"/>
          <a:ext cx="6350000" cy="54229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9"/>
  <sheetViews>
    <sheetView tabSelected="1" topLeftCell="J1" workbookViewId="0">
      <selection activeCell="F42" sqref="F42"/>
    </sheetView>
  </sheetViews>
  <sheetFormatPr defaultColWidth="9.1796875" defaultRowHeight="12" x14ac:dyDescent="0.35"/>
  <cols>
    <col min="1" max="1" width="5.08984375" style="19" customWidth="1"/>
    <col min="2" max="2" width="27" style="19" customWidth="1"/>
    <col min="3" max="3" width="12.81640625" style="19" customWidth="1"/>
    <col min="4" max="4" width="12" style="19" customWidth="1"/>
    <col min="5" max="5" width="38.90625" style="19" customWidth="1"/>
    <col min="6" max="6" width="11.36328125" style="19" customWidth="1"/>
    <col min="7" max="7" width="8.54296875" style="19" customWidth="1"/>
    <col min="8" max="8" width="14.90625" style="19" customWidth="1"/>
    <col min="9" max="9" width="10" style="19" customWidth="1"/>
    <col min="10" max="10" width="13.6328125" style="19" customWidth="1"/>
    <col min="11" max="11" width="8.6328125" style="19" hidden="1" customWidth="1"/>
    <col min="12" max="12" width="9" style="19" hidden="1" customWidth="1"/>
    <col min="13" max="13" width="5.1796875" style="19" hidden="1" customWidth="1"/>
    <col min="14" max="14" width="7.81640625" style="19" hidden="1" customWidth="1"/>
    <col min="15" max="15" width="10" style="19" customWidth="1"/>
    <col min="16" max="16" width="8.81640625" style="19" customWidth="1"/>
    <col min="17" max="17" width="11.81640625" style="19" customWidth="1"/>
    <col min="18" max="18" width="9.81640625" style="19" customWidth="1"/>
    <col min="19" max="19" width="16.08984375" style="19" customWidth="1"/>
    <col min="20" max="20" width="14.90625" style="19" customWidth="1"/>
    <col min="21" max="21" width="27.453125" style="19" customWidth="1"/>
    <col min="22" max="22" width="9" style="19" customWidth="1"/>
    <col min="23" max="23" width="8.6328125" style="19" customWidth="1"/>
    <col min="24" max="24" width="5.1796875" style="19" customWidth="1"/>
    <col min="25" max="25" width="6.453125" style="19" customWidth="1"/>
    <col min="26" max="27" width="6.1796875" style="19" customWidth="1"/>
    <col min="28" max="28" width="7.90625" style="37" customWidth="1"/>
    <col min="29" max="16384" width="9.1796875" style="19"/>
  </cols>
  <sheetData>
    <row r="1" spans="1:28" s="20" customFormat="1" ht="36" x14ac:dyDescent="0.35">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c r="W1" s="20" t="s">
        <v>22</v>
      </c>
      <c r="X1" s="20" t="s">
        <v>23</v>
      </c>
      <c r="Y1" s="20" t="s">
        <v>24</v>
      </c>
      <c r="Z1" s="20" t="s">
        <v>25</v>
      </c>
      <c r="AA1" s="20" t="s">
        <v>26</v>
      </c>
      <c r="AB1" s="38" t="s">
        <v>465</v>
      </c>
    </row>
    <row r="2" spans="1:28" ht="48" x14ac:dyDescent="0.35">
      <c r="A2" s="19">
        <v>1</v>
      </c>
      <c r="B2" s="19" t="s">
        <v>27</v>
      </c>
      <c r="C2" s="19" t="s">
        <v>28</v>
      </c>
      <c r="D2" s="19" t="s">
        <v>29</v>
      </c>
      <c r="E2" s="19" t="s">
        <v>30</v>
      </c>
      <c r="F2" s="19" t="s">
        <v>31</v>
      </c>
      <c r="G2" s="19" t="s">
        <v>32</v>
      </c>
      <c r="J2" s="19" t="s">
        <v>33</v>
      </c>
      <c r="O2" s="19" t="s">
        <v>34</v>
      </c>
      <c r="Q2" s="19">
        <v>1180</v>
      </c>
      <c r="R2" s="19">
        <v>200000</v>
      </c>
      <c r="S2" s="19" t="s">
        <v>35</v>
      </c>
      <c r="T2" s="19" t="s">
        <v>36</v>
      </c>
    </row>
    <row r="3" spans="1:28" ht="36" x14ac:dyDescent="0.35">
      <c r="A3" s="19">
        <v>2</v>
      </c>
      <c r="B3" s="19" t="s">
        <v>37</v>
      </c>
      <c r="C3" s="19" t="s">
        <v>38</v>
      </c>
      <c r="D3" s="19" t="s">
        <v>39</v>
      </c>
      <c r="E3" s="19" t="s">
        <v>40</v>
      </c>
      <c r="G3" s="19" t="s">
        <v>41</v>
      </c>
      <c r="J3" s="19" t="s">
        <v>42</v>
      </c>
      <c r="O3" s="19" t="s">
        <v>43</v>
      </c>
      <c r="Q3" s="19">
        <v>0</v>
      </c>
      <c r="R3" s="19">
        <v>1000000</v>
      </c>
      <c r="S3" s="19" t="s">
        <v>44</v>
      </c>
      <c r="T3" s="19" t="s">
        <v>45</v>
      </c>
    </row>
    <row r="4" spans="1:28" ht="24" x14ac:dyDescent="0.35">
      <c r="A4" s="19">
        <v>3</v>
      </c>
      <c r="B4" s="19" t="s">
        <v>46</v>
      </c>
      <c r="C4" s="19" t="s">
        <v>47</v>
      </c>
      <c r="D4" s="19" t="s">
        <v>48</v>
      </c>
      <c r="E4" s="19" t="s">
        <v>49</v>
      </c>
      <c r="J4" s="19" t="s">
        <v>50</v>
      </c>
      <c r="Q4" s="19">
        <v>0</v>
      </c>
      <c r="R4" s="19">
        <v>0</v>
      </c>
      <c r="S4" s="19" t="s">
        <v>51</v>
      </c>
      <c r="T4" s="19" t="s">
        <v>52</v>
      </c>
      <c r="U4" s="19" t="s">
        <v>53</v>
      </c>
    </row>
    <row r="5" spans="1:28" ht="60" x14ac:dyDescent="0.35">
      <c r="A5" s="19">
        <v>4</v>
      </c>
      <c r="B5" s="19" t="s">
        <v>54</v>
      </c>
      <c r="C5" s="19" t="s">
        <v>47</v>
      </c>
      <c r="D5" s="19" t="s">
        <v>55</v>
      </c>
      <c r="E5" s="19" t="s">
        <v>56</v>
      </c>
      <c r="F5" s="19" t="s">
        <v>57</v>
      </c>
      <c r="J5" s="19" t="s">
        <v>58</v>
      </c>
      <c r="Q5" s="19">
        <v>0</v>
      </c>
      <c r="R5" s="19">
        <v>0</v>
      </c>
      <c r="S5" s="19" t="s">
        <v>44</v>
      </c>
      <c r="T5" s="19" t="s">
        <v>59</v>
      </c>
      <c r="U5" s="19" t="s">
        <v>60</v>
      </c>
    </row>
    <row r="6" spans="1:28" s="31" customFormat="1" x14ac:dyDescent="0.35">
      <c r="A6" s="31">
        <v>5</v>
      </c>
      <c r="B6" s="31" t="s">
        <v>61</v>
      </c>
      <c r="C6" s="31" t="s">
        <v>62</v>
      </c>
      <c r="D6" s="31" t="s">
        <v>63</v>
      </c>
      <c r="E6" s="31" t="s">
        <v>64</v>
      </c>
      <c r="F6" s="31" t="s">
        <v>65</v>
      </c>
      <c r="G6" s="31">
        <v>3</v>
      </c>
      <c r="J6" s="31" t="s">
        <v>66</v>
      </c>
      <c r="O6" s="31" t="s">
        <v>34</v>
      </c>
      <c r="Q6" s="31">
        <v>5000</v>
      </c>
      <c r="R6" s="31">
        <v>500000</v>
      </c>
      <c r="S6" s="31" t="s">
        <v>44</v>
      </c>
      <c r="T6" s="31" t="s">
        <v>67</v>
      </c>
      <c r="U6" s="31" t="s">
        <v>68</v>
      </c>
      <c r="AB6" s="41"/>
    </row>
    <row r="7" spans="1:28" x14ac:dyDescent="0.35">
      <c r="A7" s="19">
        <v>6</v>
      </c>
      <c r="B7" s="19" t="s">
        <v>69</v>
      </c>
      <c r="C7" s="19" t="s">
        <v>47</v>
      </c>
      <c r="D7" s="19" t="s">
        <v>48</v>
      </c>
      <c r="E7" s="19" t="s">
        <v>70</v>
      </c>
      <c r="F7" s="19">
        <v>200000</v>
      </c>
      <c r="G7" s="19">
        <v>2</v>
      </c>
      <c r="J7" s="19" t="s">
        <v>71</v>
      </c>
      <c r="Q7" s="19">
        <v>0</v>
      </c>
      <c r="R7" s="19">
        <v>0</v>
      </c>
      <c r="S7" s="19" t="s">
        <v>72</v>
      </c>
      <c r="T7" s="19" t="s">
        <v>73</v>
      </c>
    </row>
    <row r="8" spans="1:28" s="33" customFormat="1" ht="24" x14ac:dyDescent="0.35">
      <c r="A8" s="33">
        <v>7</v>
      </c>
      <c r="B8" s="33" t="s">
        <v>74</v>
      </c>
      <c r="C8" s="33" t="s">
        <v>47</v>
      </c>
      <c r="D8" s="33" t="s">
        <v>48</v>
      </c>
      <c r="E8" s="33" t="s">
        <v>75</v>
      </c>
      <c r="F8" s="33" t="s">
        <v>76</v>
      </c>
      <c r="G8" s="33">
        <v>3</v>
      </c>
      <c r="H8" s="33" t="s">
        <v>77</v>
      </c>
      <c r="J8" s="33" t="s">
        <v>78</v>
      </c>
      <c r="L8" s="33" t="s">
        <v>79</v>
      </c>
      <c r="N8" s="33" t="s">
        <v>80</v>
      </c>
      <c r="O8" s="33" t="s">
        <v>43</v>
      </c>
      <c r="Q8" s="33">
        <v>0</v>
      </c>
      <c r="R8" s="33">
        <v>50000</v>
      </c>
      <c r="S8" s="33" t="s">
        <v>44</v>
      </c>
      <c r="T8" s="33" t="s">
        <v>81</v>
      </c>
      <c r="U8" s="33" t="s">
        <v>82</v>
      </c>
      <c r="AB8" s="42"/>
    </row>
    <row r="9" spans="1:28" ht="60" x14ac:dyDescent="0.35">
      <c r="A9" s="19">
        <v>8</v>
      </c>
      <c r="B9" s="19" t="s">
        <v>83</v>
      </c>
      <c r="C9" s="19" t="s">
        <v>84</v>
      </c>
      <c r="D9" s="19" t="s">
        <v>48</v>
      </c>
      <c r="E9" s="19" t="s">
        <v>85</v>
      </c>
      <c r="F9" s="19" t="s">
        <v>86</v>
      </c>
      <c r="G9" s="19">
        <v>3</v>
      </c>
      <c r="J9" s="19" t="s">
        <v>87</v>
      </c>
      <c r="O9" s="19" t="s">
        <v>88</v>
      </c>
      <c r="Q9" s="19">
        <v>590</v>
      </c>
      <c r="R9" s="19">
        <v>50000</v>
      </c>
      <c r="S9" s="19" t="s">
        <v>89</v>
      </c>
      <c r="T9" s="19" t="s">
        <v>90</v>
      </c>
      <c r="U9" s="19" t="s">
        <v>91</v>
      </c>
      <c r="X9" s="23">
        <v>0.05</v>
      </c>
    </row>
    <row r="10" spans="1:28" ht="36" x14ac:dyDescent="0.35">
      <c r="A10" s="19">
        <v>9</v>
      </c>
      <c r="B10" s="19" t="s">
        <v>92</v>
      </c>
      <c r="C10" s="19" t="s">
        <v>28</v>
      </c>
      <c r="D10" s="19" t="s">
        <v>29</v>
      </c>
      <c r="E10" s="19" t="s">
        <v>93</v>
      </c>
      <c r="F10" s="19">
        <v>350</v>
      </c>
      <c r="G10" s="19">
        <v>1</v>
      </c>
      <c r="J10" s="19" t="s">
        <v>94</v>
      </c>
      <c r="O10" s="19" t="s">
        <v>43</v>
      </c>
      <c r="P10" s="19" t="s">
        <v>95</v>
      </c>
      <c r="Q10" s="19">
        <v>0</v>
      </c>
      <c r="R10" s="19">
        <v>0</v>
      </c>
      <c r="S10" s="19" t="s">
        <v>89</v>
      </c>
      <c r="T10" s="19" t="s">
        <v>96</v>
      </c>
      <c r="U10" s="19" t="s">
        <v>97</v>
      </c>
    </row>
    <row r="11" spans="1:28" s="34" customFormat="1" ht="28.4" customHeight="1" x14ac:dyDescent="0.35">
      <c r="A11" s="34">
        <v>10</v>
      </c>
      <c r="B11" s="34" t="s">
        <v>98</v>
      </c>
      <c r="C11" s="34" t="s">
        <v>47</v>
      </c>
      <c r="D11" s="34" t="s">
        <v>48</v>
      </c>
      <c r="E11" s="34" t="s">
        <v>99</v>
      </c>
      <c r="F11" s="34">
        <v>500</v>
      </c>
      <c r="G11" s="34" t="s">
        <v>100</v>
      </c>
      <c r="J11" s="34" t="s">
        <v>78</v>
      </c>
      <c r="O11" s="34" t="s">
        <v>14</v>
      </c>
      <c r="Q11" s="34">
        <v>0</v>
      </c>
      <c r="R11" s="34">
        <v>150000</v>
      </c>
      <c r="S11" s="34" t="s">
        <v>44</v>
      </c>
      <c r="T11" s="34" t="s">
        <v>44</v>
      </c>
      <c r="U11" s="34" t="s">
        <v>101</v>
      </c>
      <c r="X11" s="35">
        <v>0.05</v>
      </c>
      <c r="AB11" s="43"/>
    </row>
    <row r="12" spans="1:28" ht="36" x14ac:dyDescent="0.35">
      <c r="A12" s="19">
        <v>11</v>
      </c>
      <c r="B12" s="19" t="s">
        <v>69</v>
      </c>
      <c r="C12" s="19" t="s">
        <v>47</v>
      </c>
      <c r="D12" s="19" t="s">
        <v>48</v>
      </c>
      <c r="E12" s="19" t="s">
        <v>102</v>
      </c>
      <c r="F12" s="19">
        <v>2000000</v>
      </c>
      <c r="G12" s="19" t="s">
        <v>103</v>
      </c>
      <c r="H12" s="19" t="s">
        <v>104</v>
      </c>
      <c r="J12" s="19" t="s">
        <v>105</v>
      </c>
      <c r="O12" s="19" t="s">
        <v>43</v>
      </c>
      <c r="R12" s="19">
        <v>650000</v>
      </c>
      <c r="S12" s="19" t="s">
        <v>89</v>
      </c>
      <c r="T12" s="19" t="s">
        <v>106</v>
      </c>
      <c r="U12" s="19" t="s">
        <v>107</v>
      </c>
      <c r="X12" s="23">
        <v>0.05</v>
      </c>
    </row>
    <row r="13" spans="1:28" ht="24" x14ac:dyDescent="0.35">
      <c r="A13" s="19">
        <v>12</v>
      </c>
      <c r="B13" s="19" t="s">
        <v>108</v>
      </c>
      <c r="C13" s="19" t="s">
        <v>109</v>
      </c>
      <c r="D13" s="19" t="s">
        <v>63</v>
      </c>
      <c r="E13" s="19" t="s">
        <v>110</v>
      </c>
      <c r="G13" s="19">
        <v>3</v>
      </c>
      <c r="H13" s="19" t="s">
        <v>111</v>
      </c>
      <c r="J13" s="19" t="s">
        <v>58</v>
      </c>
      <c r="O13" s="19" t="s">
        <v>112</v>
      </c>
      <c r="Q13" s="19">
        <v>5000</v>
      </c>
      <c r="S13" s="19" t="s">
        <v>89</v>
      </c>
      <c r="T13" s="19" t="s">
        <v>113</v>
      </c>
      <c r="U13" s="19" t="s">
        <v>114</v>
      </c>
    </row>
    <row r="14" spans="1:28" ht="36" x14ac:dyDescent="0.35">
      <c r="A14" s="19">
        <v>13</v>
      </c>
      <c r="B14" s="19" t="s">
        <v>115</v>
      </c>
      <c r="C14" s="19" t="s">
        <v>116</v>
      </c>
      <c r="D14" s="19" t="s">
        <v>29</v>
      </c>
      <c r="E14" s="19" t="s">
        <v>117</v>
      </c>
      <c r="F14" s="19" t="s">
        <v>118</v>
      </c>
      <c r="G14" s="19">
        <v>1</v>
      </c>
      <c r="J14" s="19" t="s">
        <v>119</v>
      </c>
      <c r="Q14" s="19">
        <v>0</v>
      </c>
      <c r="R14" s="19">
        <v>0</v>
      </c>
      <c r="S14" s="19" t="s">
        <v>89</v>
      </c>
      <c r="T14" s="19" t="s">
        <v>120</v>
      </c>
      <c r="U14" s="19" t="s">
        <v>120</v>
      </c>
    </row>
    <row r="15" spans="1:28" ht="36" x14ac:dyDescent="0.35">
      <c r="A15" s="19">
        <v>14</v>
      </c>
      <c r="B15" s="19" t="s">
        <v>121</v>
      </c>
      <c r="C15" s="19" t="s">
        <v>122</v>
      </c>
      <c r="D15" s="19" t="s">
        <v>48</v>
      </c>
      <c r="E15" s="19" t="s">
        <v>123</v>
      </c>
      <c r="G15" s="19">
        <v>5</v>
      </c>
      <c r="J15" s="19" t="s">
        <v>124</v>
      </c>
      <c r="R15" s="19">
        <v>1000000</v>
      </c>
      <c r="S15" s="19" t="s">
        <v>89</v>
      </c>
      <c r="T15" s="19" t="s">
        <v>120</v>
      </c>
      <c r="U15" s="19" t="s">
        <v>120</v>
      </c>
    </row>
    <row r="16" spans="1:28" ht="24" x14ac:dyDescent="0.35">
      <c r="A16" s="19">
        <v>15</v>
      </c>
      <c r="B16" s="19" t="s">
        <v>125</v>
      </c>
      <c r="C16" s="19" t="s">
        <v>47</v>
      </c>
      <c r="D16" s="19" t="s">
        <v>48</v>
      </c>
      <c r="E16" s="19" t="s">
        <v>126</v>
      </c>
      <c r="F16" s="19">
        <v>1200</v>
      </c>
      <c r="G16" s="19" t="s">
        <v>127</v>
      </c>
      <c r="J16" s="19" t="s">
        <v>128</v>
      </c>
      <c r="Q16" s="19">
        <v>0</v>
      </c>
      <c r="R16" s="19">
        <v>0</v>
      </c>
      <c r="S16" s="19" t="s">
        <v>89</v>
      </c>
      <c r="T16" s="19" t="s">
        <v>129</v>
      </c>
      <c r="U16" s="19" t="s">
        <v>97</v>
      </c>
    </row>
    <row r="17" spans="1:28" s="31" customFormat="1" ht="36" x14ac:dyDescent="0.35">
      <c r="A17" s="31">
        <v>16</v>
      </c>
      <c r="B17" s="31" t="s">
        <v>130</v>
      </c>
      <c r="C17" s="31" t="s">
        <v>62</v>
      </c>
      <c r="D17" s="31" t="s">
        <v>63</v>
      </c>
      <c r="E17" s="31" t="s">
        <v>131</v>
      </c>
      <c r="F17" s="31">
        <v>120000</v>
      </c>
      <c r="G17" s="31" t="s">
        <v>132</v>
      </c>
      <c r="H17" s="31" t="s">
        <v>133</v>
      </c>
      <c r="J17" s="31" t="s">
        <v>134</v>
      </c>
      <c r="Q17" s="31">
        <v>5600</v>
      </c>
      <c r="R17" s="31">
        <v>600000</v>
      </c>
      <c r="S17" s="31" t="s">
        <v>44</v>
      </c>
      <c r="T17" s="31" t="s">
        <v>67</v>
      </c>
      <c r="U17" s="31" t="s">
        <v>135</v>
      </c>
      <c r="AB17" s="41"/>
    </row>
    <row r="18" spans="1:28" s="21" customFormat="1" ht="7.65" customHeight="1" x14ac:dyDescent="0.35">
      <c r="A18" s="21">
        <v>17</v>
      </c>
      <c r="B18" s="21" t="s">
        <v>136</v>
      </c>
      <c r="C18" s="21" t="s">
        <v>47</v>
      </c>
      <c r="D18" s="21" t="s">
        <v>48</v>
      </c>
      <c r="E18" s="21" t="s">
        <v>137</v>
      </c>
      <c r="F18" s="21" t="s">
        <v>138</v>
      </c>
      <c r="G18" s="21" t="s">
        <v>139</v>
      </c>
      <c r="H18" s="21" t="s">
        <v>133</v>
      </c>
      <c r="J18" s="21" t="s">
        <v>80</v>
      </c>
      <c r="R18" s="21">
        <v>1433700</v>
      </c>
      <c r="S18" s="21" t="s">
        <v>89</v>
      </c>
      <c r="T18" s="21" t="s">
        <v>106</v>
      </c>
      <c r="U18" s="21" t="s">
        <v>140</v>
      </c>
      <c r="AB18" s="39"/>
    </row>
    <row r="19" spans="1:28" ht="24" x14ac:dyDescent="0.35">
      <c r="A19" s="19">
        <v>18</v>
      </c>
      <c r="B19" s="19" t="s">
        <v>141</v>
      </c>
      <c r="E19" s="19" t="s">
        <v>126</v>
      </c>
      <c r="S19" s="19" t="s">
        <v>35</v>
      </c>
      <c r="T19" s="19" t="s">
        <v>45</v>
      </c>
    </row>
    <row r="20" spans="1:28" ht="30.65" customHeight="1" x14ac:dyDescent="0.35">
      <c r="A20" s="19">
        <v>19</v>
      </c>
      <c r="B20" s="19" t="s">
        <v>142</v>
      </c>
      <c r="C20" s="19" t="s">
        <v>143</v>
      </c>
      <c r="D20" s="19" t="s">
        <v>29</v>
      </c>
      <c r="E20" s="19" t="s">
        <v>144</v>
      </c>
      <c r="F20" s="19">
        <v>500</v>
      </c>
      <c r="G20" s="19">
        <v>1</v>
      </c>
      <c r="H20" s="19" t="s">
        <v>145</v>
      </c>
      <c r="J20" s="19" t="s">
        <v>79</v>
      </c>
      <c r="Q20" s="19">
        <v>710</v>
      </c>
      <c r="R20" s="19">
        <v>3000</v>
      </c>
      <c r="S20" s="19" t="s">
        <v>89</v>
      </c>
      <c r="T20" s="19" t="s">
        <v>106</v>
      </c>
      <c r="U20" s="19" t="s">
        <v>146</v>
      </c>
    </row>
    <row r="21" spans="1:28" s="34" customFormat="1" ht="22" customHeight="1" x14ac:dyDescent="0.35">
      <c r="A21" s="34">
        <v>20</v>
      </c>
      <c r="B21" s="34" t="s">
        <v>69</v>
      </c>
      <c r="C21" s="34" t="s">
        <v>47</v>
      </c>
      <c r="D21" s="34" t="s">
        <v>48</v>
      </c>
      <c r="E21" s="34" t="s">
        <v>147</v>
      </c>
      <c r="F21" s="34">
        <v>200000</v>
      </c>
      <c r="G21" s="34" t="s">
        <v>103</v>
      </c>
      <c r="H21" s="34" t="s">
        <v>78</v>
      </c>
      <c r="J21" s="34" t="s">
        <v>105</v>
      </c>
      <c r="K21" s="34" t="s">
        <v>148</v>
      </c>
      <c r="O21" s="34" t="s">
        <v>14</v>
      </c>
      <c r="Q21" s="34">
        <v>8000000</v>
      </c>
      <c r="S21" s="34" t="s">
        <v>44</v>
      </c>
      <c r="T21" s="34" t="s">
        <v>44</v>
      </c>
      <c r="U21" s="34" t="s">
        <v>149</v>
      </c>
      <c r="AB21" s="43"/>
    </row>
    <row r="22" spans="1:28" ht="33.65" customHeight="1" x14ac:dyDescent="0.35">
      <c r="A22" s="19">
        <v>21</v>
      </c>
      <c r="B22" s="19" t="s">
        <v>150</v>
      </c>
      <c r="C22" s="19" t="s">
        <v>109</v>
      </c>
      <c r="D22" s="19" t="s">
        <v>39</v>
      </c>
      <c r="E22" s="19" t="s">
        <v>151</v>
      </c>
      <c r="G22" s="19">
        <v>3</v>
      </c>
      <c r="J22" s="19" t="s">
        <v>80</v>
      </c>
      <c r="Q22" s="19">
        <v>50000</v>
      </c>
      <c r="R22" s="19">
        <v>800000</v>
      </c>
      <c r="S22" s="19" t="s">
        <v>89</v>
      </c>
      <c r="T22" s="19" t="s">
        <v>106</v>
      </c>
      <c r="U22" s="19" t="s">
        <v>107</v>
      </c>
    </row>
    <row r="23" spans="1:28" x14ac:dyDescent="0.35">
      <c r="A23" s="19">
        <v>22</v>
      </c>
      <c r="B23" s="19" t="s">
        <v>152</v>
      </c>
      <c r="C23" s="19" t="s">
        <v>47</v>
      </c>
      <c r="D23" s="19" t="s">
        <v>39</v>
      </c>
      <c r="E23" s="19" t="s">
        <v>153</v>
      </c>
      <c r="F23" s="19">
        <v>1000</v>
      </c>
      <c r="G23" s="19">
        <v>1</v>
      </c>
      <c r="J23" s="19" t="s">
        <v>154</v>
      </c>
      <c r="P23" s="19" t="s">
        <v>155</v>
      </c>
      <c r="R23" s="19">
        <v>16000</v>
      </c>
      <c r="S23" s="19" t="s">
        <v>89</v>
      </c>
      <c r="T23" s="19" t="s">
        <v>106</v>
      </c>
      <c r="U23" s="19" t="s">
        <v>156</v>
      </c>
    </row>
    <row r="24" spans="1:28" s="33" customFormat="1" x14ac:dyDescent="0.35">
      <c r="A24" s="33">
        <v>23</v>
      </c>
      <c r="B24" s="33" t="s">
        <v>157</v>
      </c>
      <c r="C24" s="33" t="s">
        <v>158</v>
      </c>
      <c r="D24" s="33" t="s">
        <v>29</v>
      </c>
      <c r="E24" s="33" t="s">
        <v>159</v>
      </c>
      <c r="F24" s="33">
        <v>8800</v>
      </c>
      <c r="G24" s="33" t="s">
        <v>160</v>
      </c>
      <c r="J24" s="33" t="s">
        <v>161</v>
      </c>
      <c r="R24" s="33">
        <v>200000</v>
      </c>
      <c r="S24" s="33" t="s">
        <v>44</v>
      </c>
      <c r="T24" s="33" t="s">
        <v>162</v>
      </c>
      <c r="U24" s="33" t="s">
        <v>163</v>
      </c>
      <c r="AB24" s="42"/>
    </row>
    <row r="25" spans="1:28" ht="36" x14ac:dyDescent="0.35">
      <c r="A25" s="19">
        <v>24</v>
      </c>
      <c r="B25" s="19" t="s">
        <v>164</v>
      </c>
      <c r="C25" s="19" t="s">
        <v>38</v>
      </c>
      <c r="D25" s="19" t="s">
        <v>39</v>
      </c>
      <c r="E25" s="19" t="s">
        <v>165</v>
      </c>
      <c r="F25" s="19">
        <v>50000</v>
      </c>
      <c r="G25" s="19">
        <v>3</v>
      </c>
      <c r="J25" s="19" t="s">
        <v>166</v>
      </c>
      <c r="R25" s="19">
        <v>1000000</v>
      </c>
      <c r="S25" s="19" t="s">
        <v>35</v>
      </c>
      <c r="T25" s="19" t="s">
        <v>45</v>
      </c>
    </row>
    <row r="26" spans="1:28" s="33" customFormat="1" ht="18" customHeight="1" x14ac:dyDescent="0.35">
      <c r="A26" s="33">
        <v>25</v>
      </c>
      <c r="B26" s="33" t="s">
        <v>37</v>
      </c>
      <c r="C26" s="33" t="s">
        <v>38</v>
      </c>
      <c r="D26" s="33" t="s">
        <v>39</v>
      </c>
      <c r="E26" s="33" t="s">
        <v>167</v>
      </c>
      <c r="F26" s="33">
        <v>150000</v>
      </c>
      <c r="G26" s="33">
        <v>5</v>
      </c>
      <c r="H26" s="33" t="s">
        <v>168</v>
      </c>
      <c r="J26" s="33" t="s">
        <v>166</v>
      </c>
      <c r="R26" s="33">
        <v>1000000</v>
      </c>
      <c r="S26" s="33" t="s">
        <v>44</v>
      </c>
      <c r="T26" s="33" t="s">
        <v>162</v>
      </c>
      <c r="U26" s="33" t="s">
        <v>169</v>
      </c>
      <c r="AB26" s="47">
        <v>0.9</v>
      </c>
    </row>
    <row r="27" spans="1:28" s="31" customFormat="1" ht="37.65" customHeight="1" x14ac:dyDescent="0.35">
      <c r="A27" s="31">
        <v>26</v>
      </c>
      <c r="B27" s="31" t="s">
        <v>170</v>
      </c>
      <c r="C27" s="31" t="s">
        <v>38</v>
      </c>
      <c r="D27" s="31" t="s">
        <v>39</v>
      </c>
      <c r="E27" s="31" t="s">
        <v>171</v>
      </c>
      <c r="F27" s="31">
        <v>100000</v>
      </c>
      <c r="G27" s="31">
        <v>2</v>
      </c>
      <c r="H27" s="31" t="s">
        <v>168</v>
      </c>
      <c r="J27" s="31" t="s">
        <v>172</v>
      </c>
      <c r="O27" s="31" t="s">
        <v>43</v>
      </c>
      <c r="P27" s="31" t="s">
        <v>173</v>
      </c>
      <c r="Q27" s="31">
        <v>0</v>
      </c>
      <c r="R27" s="31">
        <v>1300000</v>
      </c>
      <c r="S27" s="31" t="s">
        <v>44</v>
      </c>
      <c r="T27" s="31" t="s">
        <v>67</v>
      </c>
      <c r="U27" s="31" t="s">
        <v>174</v>
      </c>
      <c r="AB27" s="41"/>
    </row>
    <row r="28" spans="1:28" s="31" customFormat="1" ht="31.15" customHeight="1" x14ac:dyDescent="0.35">
      <c r="A28" s="31">
        <v>27</v>
      </c>
      <c r="B28" s="31" t="s">
        <v>175</v>
      </c>
      <c r="C28" s="31" t="s">
        <v>116</v>
      </c>
      <c r="D28" s="31" t="s">
        <v>29</v>
      </c>
      <c r="E28" s="31" t="s">
        <v>176</v>
      </c>
      <c r="F28" s="31">
        <v>12000</v>
      </c>
      <c r="H28" s="31" t="s">
        <v>177</v>
      </c>
      <c r="J28" s="31" t="s">
        <v>178</v>
      </c>
      <c r="K28" s="31" t="s">
        <v>179</v>
      </c>
      <c r="O28" s="31" t="s">
        <v>14</v>
      </c>
      <c r="R28" s="31">
        <v>200000</v>
      </c>
      <c r="S28" s="31" t="s">
        <v>44</v>
      </c>
      <c r="T28" s="31" t="s">
        <v>67</v>
      </c>
      <c r="U28" s="31" t="s">
        <v>180</v>
      </c>
      <c r="AB28" s="41"/>
    </row>
    <row r="29" spans="1:28" ht="15.4" customHeight="1" x14ac:dyDescent="0.35">
      <c r="A29" s="19">
        <v>28</v>
      </c>
      <c r="B29" s="19" t="s">
        <v>181</v>
      </c>
      <c r="E29" s="19" t="s">
        <v>182</v>
      </c>
      <c r="Q29" s="19">
        <v>2000</v>
      </c>
      <c r="R29" s="19">
        <v>2400000</v>
      </c>
      <c r="S29" s="19" t="s">
        <v>89</v>
      </c>
      <c r="T29" s="19" t="s">
        <v>183</v>
      </c>
    </row>
    <row r="30" spans="1:28" s="31" customFormat="1" ht="17" customHeight="1" x14ac:dyDescent="0.35">
      <c r="A30" s="31">
        <v>29</v>
      </c>
      <c r="B30" s="31" t="s">
        <v>184</v>
      </c>
      <c r="C30" s="31" t="s">
        <v>185</v>
      </c>
      <c r="D30" s="31" t="s">
        <v>29</v>
      </c>
      <c r="E30" s="31" t="s">
        <v>186</v>
      </c>
      <c r="F30" s="31">
        <v>20000</v>
      </c>
      <c r="G30" s="31">
        <v>1</v>
      </c>
      <c r="H30" s="31" t="s">
        <v>177</v>
      </c>
      <c r="J30" s="31" t="s">
        <v>187</v>
      </c>
      <c r="K30" s="34"/>
      <c r="L30" s="34"/>
      <c r="M30" s="34"/>
      <c r="N30" s="34"/>
      <c r="P30" s="31" t="s">
        <v>188</v>
      </c>
      <c r="R30" s="31">
        <v>271632</v>
      </c>
      <c r="S30" s="31" t="s">
        <v>44</v>
      </c>
      <c r="T30" s="31" t="s">
        <v>45</v>
      </c>
      <c r="U30" s="31" t="s">
        <v>189</v>
      </c>
      <c r="AB30" s="48">
        <v>0.6</v>
      </c>
    </row>
    <row r="31" spans="1:28" s="22" customFormat="1" ht="17.399999999999999" customHeight="1" x14ac:dyDescent="0.35">
      <c r="A31" s="22">
        <v>30</v>
      </c>
      <c r="B31" s="22" t="s">
        <v>190</v>
      </c>
      <c r="C31" s="22" t="s">
        <v>191</v>
      </c>
      <c r="D31" s="22" t="s">
        <v>192</v>
      </c>
      <c r="E31" s="22" t="s">
        <v>193</v>
      </c>
      <c r="F31" s="22">
        <v>25000</v>
      </c>
      <c r="G31" s="22">
        <v>5</v>
      </c>
      <c r="H31" s="22" t="s">
        <v>194</v>
      </c>
      <c r="J31" s="22" t="s">
        <v>195</v>
      </c>
      <c r="R31" s="22">
        <v>500000</v>
      </c>
      <c r="S31" s="22" t="s">
        <v>35</v>
      </c>
      <c r="T31" s="22" t="s">
        <v>45</v>
      </c>
      <c r="U31" s="22" t="s">
        <v>196</v>
      </c>
      <c r="AB31" s="40"/>
    </row>
    <row r="32" spans="1:28" s="33" customFormat="1" ht="31.15" customHeight="1" x14ac:dyDescent="0.35">
      <c r="A32" s="33">
        <v>31</v>
      </c>
      <c r="B32" s="33" t="s">
        <v>197</v>
      </c>
      <c r="C32" s="33" t="s">
        <v>198</v>
      </c>
      <c r="D32" s="33" t="s">
        <v>192</v>
      </c>
      <c r="E32" s="33" t="s">
        <v>199</v>
      </c>
      <c r="F32" s="33">
        <v>1500000</v>
      </c>
      <c r="G32" s="33">
        <v>2</v>
      </c>
      <c r="H32" s="33" t="s">
        <v>200</v>
      </c>
      <c r="J32" s="33" t="s">
        <v>201</v>
      </c>
      <c r="O32" s="33" t="s">
        <v>202</v>
      </c>
      <c r="R32" s="33">
        <v>1000000</v>
      </c>
      <c r="S32" s="33" t="s">
        <v>44</v>
      </c>
      <c r="T32" s="33" t="s">
        <v>162</v>
      </c>
      <c r="U32" s="33" t="s">
        <v>203</v>
      </c>
      <c r="AB32" s="42"/>
    </row>
    <row r="33" spans="1:28" s="34" customFormat="1" ht="16.649999999999999" customHeight="1" x14ac:dyDescent="0.35">
      <c r="A33" s="34">
        <v>32</v>
      </c>
      <c r="B33" s="34" t="s">
        <v>204</v>
      </c>
      <c r="C33" s="34" t="s">
        <v>205</v>
      </c>
      <c r="D33" s="34" t="s">
        <v>206</v>
      </c>
      <c r="E33" s="34" t="s">
        <v>207</v>
      </c>
      <c r="F33" s="36">
        <v>50000</v>
      </c>
      <c r="G33" s="34">
        <v>3</v>
      </c>
      <c r="H33" s="34" t="s">
        <v>208</v>
      </c>
      <c r="J33" s="34" t="s">
        <v>209</v>
      </c>
      <c r="O33" s="34" t="s">
        <v>43</v>
      </c>
      <c r="P33" s="34" t="s">
        <v>188</v>
      </c>
      <c r="R33" s="34">
        <v>1000000</v>
      </c>
      <c r="S33" s="34" t="s">
        <v>44</v>
      </c>
      <c r="T33" s="34" t="s">
        <v>44</v>
      </c>
      <c r="U33" s="34" t="s">
        <v>210</v>
      </c>
      <c r="AB33" s="49">
        <v>2.5</v>
      </c>
    </row>
    <row r="34" spans="1:28" s="34" customFormat="1" ht="16.399999999999999" customHeight="1" x14ac:dyDescent="0.35">
      <c r="A34" s="34">
        <v>33</v>
      </c>
      <c r="B34" s="34" t="s">
        <v>211</v>
      </c>
      <c r="C34" s="34" t="s">
        <v>212</v>
      </c>
      <c r="D34" s="34" t="s">
        <v>213</v>
      </c>
      <c r="E34" s="34" t="s">
        <v>214</v>
      </c>
      <c r="F34" s="36">
        <v>7500</v>
      </c>
      <c r="G34" s="34">
        <v>3</v>
      </c>
      <c r="H34" s="34" t="s">
        <v>215</v>
      </c>
      <c r="J34" s="34" t="s">
        <v>216</v>
      </c>
      <c r="O34" s="34" t="s">
        <v>34</v>
      </c>
      <c r="R34" s="34">
        <v>187500</v>
      </c>
      <c r="S34" s="34" t="s">
        <v>44</v>
      </c>
      <c r="T34" s="34" t="s">
        <v>44</v>
      </c>
      <c r="U34" s="34" t="s">
        <v>217</v>
      </c>
      <c r="AB34" s="43">
        <v>0.25</v>
      </c>
    </row>
    <row r="35" spans="1:28" s="31" customFormat="1" ht="17" customHeight="1" x14ac:dyDescent="0.35">
      <c r="A35" s="31">
        <v>34</v>
      </c>
      <c r="B35" s="31" t="s">
        <v>218</v>
      </c>
      <c r="C35" s="31" t="s">
        <v>219</v>
      </c>
      <c r="D35" s="31" t="s">
        <v>220</v>
      </c>
      <c r="E35" s="31" t="s">
        <v>221</v>
      </c>
      <c r="F35" s="32">
        <v>8000</v>
      </c>
      <c r="G35" s="31" t="s">
        <v>222</v>
      </c>
      <c r="H35" s="31" t="s">
        <v>223</v>
      </c>
      <c r="J35" s="31" t="s">
        <v>224</v>
      </c>
      <c r="R35" s="31" t="s">
        <v>225</v>
      </c>
      <c r="S35" s="31" t="s">
        <v>44</v>
      </c>
      <c r="T35" s="31" t="s">
        <v>67</v>
      </c>
      <c r="U35" s="31" t="s">
        <v>226</v>
      </c>
      <c r="AB35" s="41"/>
    </row>
    <row r="36" spans="1:28" s="31" customFormat="1" ht="31.65" customHeight="1" x14ac:dyDescent="0.35">
      <c r="A36" s="31">
        <v>35</v>
      </c>
      <c r="B36" s="31" t="s">
        <v>227</v>
      </c>
      <c r="C36" s="31" t="s">
        <v>228</v>
      </c>
      <c r="D36" s="31" t="s">
        <v>29</v>
      </c>
      <c r="E36" s="31" t="s">
        <v>229</v>
      </c>
      <c r="F36" s="32" t="s">
        <v>230</v>
      </c>
      <c r="G36" s="31" t="s">
        <v>231</v>
      </c>
      <c r="H36" s="31" t="s">
        <v>223</v>
      </c>
      <c r="J36" s="31" t="s">
        <v>232</v>
      </c>
      <c r="O36" s="31" t="s">
        <v>233</v>
      </c>
      <c r="R36" s="31">
        <v>36000</v>
      </c>
      <c r="S36" s="31" t="s">
        <v>44</v>
      </c>
      <c r="T36" s="31" t="s">
        <v>67</v>
      </c>
      <c r="U36" s="31" t="s">
        <v>234</v>
      </c>
      <c r="AB36" s="41"/>
    </row>
    <row r="37" spans="1:28" s="31" customFormat="1" ht="16.399999999999999" customHeight="1" x14ac:dyDescent="0.35">
      <c r="A37" s="31">
        <v>36</v>
      </c>
      <c r="B37" s="31" t="s">
        <v>235</v>
      </c>
      <c r="C37" s="31" t="s">
        <v>236</v>
      </c>
      <c r="D37" s="31" t="s">
        <v>48</v>
      </c>
      <c r="E37" s="31" t="s">
        <v>237</v>
      </c>
      <c r="F37" s="32">
        <v>30000</v>
      </c>
      <c r="G37" s="31">
        <v>1</v>
      </c>
      <c r="H37" s="31" t="s">
        <v>238</v>
      </c>
      <c r="J37" s="31" t="s">
        <v>239</v>
      </c>
      <c r="O37" s="31" t="s">
        <v>43</v>
      </c>
      <c r="P37" s="31" t="s">
        <v>188</v>
      </c>
      <c r="R37" s="31">
        <v>475000</v>
      </c>
      <c r="S37" s="31" t="s">
        <v>44</v>
      </c>
      <c r="T37" s="31" t="s">
        <v>67</v>
      </c>
      <c r="U37" s="31" t="s">
        <v>240</v>
      </c>
      <c r="AB37" s="41"/>
    </row>
    <row r="38" spans="1:28" ht="16.399999999999999" customHeight="1" x14ac:dyDescent="0.35">
      <c r="A38" s="19">
        <v>37</v>
      </c>
      <c r="B38" s="19" t="s">
        <v>241</v>
      </c>
      <c r="C38" s="19" t="s">
        <v>212</v>
      </c>
      <c r="D38" s="19" t="s">
        <v>48</v>
      </c>
      <c r="E38" s="19" t="s">
        <v>242</v>
      </c>
      <c r="F38" s="24">
        <v>100000</v>
      </c>
      <c r="G38" s="19">
        <v>2</v>
      </c>
      <c r="H38" s="19" t="s">
        <v>243</v>
      </c>
      <c r="J38" s="19" t="s">
        <v>244</v>
      </c>
      <c r="O38" s="19" t="s">
        <v>14</v>
      </c>
      <c r="R38" s="19">
        <v>1200000</v>
      </c>
      <c r="S38" s="19" t="s">
        <v>245</v>
      </c>
      <c r="T38" s="19" t="s">
        <v>245</v>
      </c>
      <c r="U38" s="19" t="s">
        <v>246</v>
      </c>
    </row>
    <row r="39" spans="1:28" ht="24" x14ac:dyDescent="0.35">
      <c r="A39" s="19">
        <v>38</v>
      </c>
      <c r="B39" s="19" t="s">
        <v>247</v>
      </c>
      <c r="C39" s="19" t="s">
        <v>248</v>
      </c>
      <c r="D39" s="19" t="s">
        <v>39</v>
      </c>
      <c r="E39" s="19" t="s">
        <v>249</v>
      </c>
      <c r="F39" s="19" t="s">
        <v>250</v>
      </c>
      <c r="G39" s="19">
        <v>3</v>
      </c>
      <c r="H39" s="19" t="s">
        <v>251</v>
      </c>
      <c r="J39" s="19" t="s">
        <v>252</v>
      </c>
      <c r="O39" s="19" t="s">
        <v>43</v>
      </c>
      <c r="Q39" s="19">
        <v>10000</v>
      </c>
      <c r="R39" s="19">
        <v>100000</v>
      </c>
      <c r="S39" s="19" t="s">
        <v>89</v>
      </c>
      <c r="T39" s="19" t="s">
        <v>106</v>
      </c>
      <c r="U39" s="19" t="s">
        <v>253</v>
      </c>
    </row>
    <row r="40" spans="1:28" s="33" customFormat="1" x14ac:dyDescent="0.35">
      <c r="A40" s="33">
        <v>39</v>
      </c>
      <c r="B40" s="33" t="s">
        <v>254</v>
      </c>
      <c r="C40" s="33" t="s">
        <v>47</v>
      </c>
      <c r="D40" s="33" t="s">
        <v>255</v>
      </c>
      <c r="E40" s="33" t="s">
        <v>256</v>
      </c>
      <c r="F40" s="33">
        <v>2200</v>
      </c>
      <c r="G40" s="33">
        <v>1</v>
      </c>
      <c r="H40" s="33" t="s">
        <v>257</v>
      </c>
      <c r="J40" s="33" t="s">
        <v>258</v>
      </c>
      <c r="K40" s="34"/>
      <c r="L40" s="34"/>
      <c r="M40" s="34"/>
      <c r="N40" s="34"/>
      <c r="O40" s="33" t="s">
        <v>173</v>
      </c>
      <c r="S40" s="33" t="s">
        <v>44</v>
      </c>
      <c r="T40" s="33" t="s">
        <v>162</v>
      </c>
      <c r="U40" s="33" t="s">
        <v>259</v>
      </c>
      <c r="AB40" s="42"/>
    </row>
    <row r="41" spans="1:28" s="33" customFormat="1" ht="36" x14ac:dyDescent="0.35">
      <c r="A41" s="33">
        <v>40</v>
      </c>
      <c r="B41" s="33" t="s">
        <v>260</v>
      </c>
      <c r="C41" s="33" t="s">
        <v>261</v>
      </c>
      <c r="D41" s="33" t="s">
        <v>48</v>
      </c>
      <c r="E41" s="33" t="s">
        <v>262</v>
      </c>
      <c r="F41" s="33">
        <v>100000</v>
      </c>
      <c r="G41" s="33" t="s">
        <v>32</v>
      </c>
      <c r="H41" s="33" t="s">
        <v>263</v>
      </c>
      <c r="J41" s="33" t="s">
        <v>264</v>
      </c>
      <c r="K41" s="34"/>
      <c r="L41" s="34"/>
      <c r="M41" s="34"/>
      <c r="N41" s="34"/>
      <c r="O41" s="33" t="s">
        <v>34</v>
      </c>
      <c r="R41" s="33">
        <v>400000</v>
      </c>
      <c r="S41" s="33" t="s">
        <v>44</v>
      </c>
      <c r="T41" s="33" t="s">
        <v>162</v>
      </c>
      <c r="U41" s="33" t="s">
        <v>265</v>
      </c>
      <c r="AB41" s="47">
        <v>3.4</v>
      </c>
    </row>
    <row r="42" spans="1:28" ht="36" x14ac:dyDescent="0.35">
      <c r="A42" s="19">
        <v>41</v>
      </c>
      <c r="B42" s="19" t="s">
        <v>266</v>
      </c>
      <c r="C42" s="19" t="s">
        <v>38</v>
      </c>
      <c r="D42" s="19" t="s">
        <v>39</v>
      </c>
      <c r="E42" s="19" t="s">
        <v>267</v>
      </c>
      <c r="F42" s="19" t="s">
        <v>268</v>
      </c>
      <c r="G42" s="19" t="s">
        <v>269</v>
      </c>
      <c r="H42" s="19" t="s">
        <v>270</v>
      </c>
      <c r="J42" s="19" t="s">
        <v>264</v>
      </c>
      <c r="O42" s="19" t="s">
        <v>34</v>
      </c>
      <c r="R42" s="19" t="s">
        <v>271</v>
      </c>
      <c r="S42" s="19" t="s">
        <v>89</v>
      </c>
      <c r="T42" s="19" t="s">
        <v>106</v>
      </c>
      <c r="U42" s="19" t="s">
        <v>272</v>
      </c>
    </row>
    <row r="43" spans="1:28" s="34" customFormat="1" ht="48" x14ac:dyDescent="0.35">
      <c r="A43" s="34">
        <v>42</v>
      </c>
      <c r="B43" s="34" t="s">
        <v>273</v>
      </c>
      <c r="C43" s="34" t="s">
        <v>274</v>
      </c>
      <c r="D43" s="34" t="s">
        <v>39</v>
      </c>
      <c r="E43" s="34" t="s">
        <v>275</v>
      </c>
      <c r="F43" s="34">
        <v>10000</v>
      </c>
      <c r="G43" s="34">
        <v>5</v>
      </c>
      <c r="H43" s="34" t="s">
        <v>270</v>
      </c>
      <c r="J43" s="34" t="s">
        <v>276</v>
      </c>
      <c r="O43" s="34" t="s">
        <v>34</v>
      </c>
      <c r="Q43" s="34" t="s">
        <v>277</v>
      </c>
      <c r="R43" s="34">
        <v>200000</v>
      </c>
      <c r="S43" s="34" t="s">
        <v>44</v>
      </c>
      <c r="T43" s="34" t="s">
        <v>51</v>
      </c>
      <c r="U43" s="34" t="s">
        <v>278</v>
      </c>
      <c r="AB43" s="49">
        <v>0.5</v>
      </c>
    </row>
    <row r="44" spans="1:28" ht="108" x14ac:dyDescent="0.35">
      <c r="A44" s="19">
        <v>43</v>
      </c>
      <c r="B44" s="19" t="s">
        <v>279</v>
      </c>
      <c r="C44" s="19" t="s">
        <v>280</v>
      </c>
      <c r="D44" s="19" t="s">
        <v>29</v>
      </c>
      <c r="E44" s="19" t="s">
        <v>281</v>
      </c>
      <c r="F44" s="19">
        <v>30000000</v>
      </c>
      <c r="G44" s="19">
        <v>1</v>
      </c>
      <c r="H44" s="19" t="s">
        <v>282</v>
      </c>
      <c r="J44" s="19" t="s">
        <v>283</v>
      </c>
      <c r="O44" s="19" t="s">
        <v>34</v>
      </c>
      <c r="Q44" s="19">
        <v>20000</v>
      </c>
      <c r="R44" s="19">
        <v>10000000</v>
      </c>
      <c r="S44" s="19" t="s">
        <v>245</v>
      </c>
      <c r="T44" s="19" t="s">
        <v>245</v>
      </c>
      <c r="U44" s="19" t="s">
        <v>284</v>
      </c>
    </row>
    <row r="45" spans="1:28" ht="48" x14ac:dyDescent="0.35">
      <c r="A45" s="19">
        <v>44</v>
      </c>
      <c r="B45" s="19" t="s">
        <v>285</v>
      </c>
      <c r="C45" s="19" t="s">
        <v>286</v>
      </c>
      <c r="D45" s="19" t="s">
        <v>48</v>
      </c>
      <c r="E45" s="19" t="s">
        <v>287</v>
      </c>
      <c r="F45" s="19">
        <v>1019</v>
      </c>
      <c r="G45" s="19">
        <v>1</v>
      </c>
      <c r="H45" s="19" t="s">
        <v>288</v>
      </c>
      <c r="J45" s="19" t="s">
        <v>282</v>
      </c>
      <c r="O45" s="19" t="s">
        <v>43</v>
      </c>
      <c r="R45" s="19">
        <v>100000</v>
      </c>
      <c r="S45" s="19" t="s">
        <v>245</v>
      </c>
      <c r="T45" s="19" t="s">
        <v>245</v>
      </c>
      <c r="U45" s="19" t="s">
        <v>289</v>
      </c>
    </row>
    <row r="46" spans="1:28" ht="60" x14ac:dyDescent="0.35">
      <c r="A46" s="19">
        <v>45</v>
      </c>
      <c r="B46" s="19" t="s">
        <v>290</v>
      </c>
      <c r="C46" s="19" t="s">
        <v>291</v>
      </c>
      <c r="D46" s="19" t="s">
        <v>292</v>
      </c>
      <c r="E46" s="19" t="s">
        <v>293</v>
      </c>
      <c r="F46" s="19">
        <v>100000</v>
      </c>
      <c r="G46" s="19">
        <v>2</v>
      </c>
      <c r="J46" s="19" t="s">
        <v>294</v>
      </c>
      <c r="O46" s="19" t="s">
        <v>295</v>
      </c>
      <c r="Q46" s="19">
        <v>5000</v>
      </c>
      <c r="R46" s="19">
        <v>600000</v>
      </c>
      <c r="S46" s="19" t="s">
        <v>35</v>
      </c>
      <c r="T46" s="19" t="s">
        <v>45</v>
      </c>
    </row>
    <row r="47" spans="1:28" s="34" customFormat="1" ht="72" x14ac:dyDescent="0.35">
      <c r="A47" s="34">
        <v>46</v>
      </c>
      <c r="B47" s="34" t="s">
        <v>296</v>
      </c>
      <c r="C47" s="34" t="s">
        <v>116</v>
      </c>
      <c r="D47" s="34" t="s">
        <v>297</v>
      </c>
      <c r="E47" s="34" t="s">
        <v>298</v>
      </c>
      <c r="F47" s="34">
        <v>15000</v>
      </c>
      <c r="G47" s="34">
        <v>3</v>
      </c>
      <c r="H47" s="34" t="s">
        <v>299</v>
      </c>
      <c r="J47" s="34" t="s">
        <v>300</v>
      </c>
      <c r="K47" s="19"/>
      <c r="L47" s="19"/>
      <c r="M47" s="19"/>
      <c r="N47" s="19"/>
      <c r="O47" s="34" t="s">
        <v>295</v>
      </c>
      <c r="R47" s="34" t="s">
        <v>301</v>
      </c>
      <c r="S47" s="34" t="s">
        <v>44</v>
      </c>
      <c r="T47" s="34" t="s">
        <v>302</v>
      </c>
      <c r="AB47" s="43"/>
    </row>
    <row r="48" spans="1:28" ht="36" x14ac:dyDescent="0.35">
      <c r="A48" s="19">
        <v>47</v>
      </c>
      <c r="B48" s="19" t="s">
        <v>303</v>
      </c>
      <c r="C48" s="19" t="s">
        <v>304</v>
      </c>
      <c r="D48" s="19" t="s">
        <v>292</v>
      </c>
      <c r="E48" s="19" t="s">
        <v>305</v>
      </c>
      <c r="F48" s="19" t="s">
        <v>306</v>
      </c>
      <c r="G48" s="19">
        <v>1</v>
      </c>
      <c r="J48" s="19" t="s">
        <v>307</v>
      </c>
      <c r="O48" s="19" t="s">
        <v>308</v>
      </c>
      <c r="R48" s="19">
        <v>300000</v>
      </c>
      <c r="S48" s="19" t="s">
        <v>245</v>
      </c>
      <c r="T48" s="19" t="s">
        <v>245</v>
      </c>
      <c r="U48" s="19" t="s">
        <v>309</v>
      </c>
      <c r="AB48" s="37">
        <v>0.05</v>
      </c>
    </row>
    <row r="49" spans="1:28" s="31" customFormat="1" ht="48" x14ac:dyDescent="0.35">
      <c r="A49" s="31">
        <v>48</v>
      </c>
      <c r="B49" s="31" t="s">
        <v>310</v>
      </c>
      <c r="C49" s="31" t="s">
        <v>280</v>
      </c>
      <c r="D49" s="31" t="s">
        <v>29</v>
      </c>
      <c r="E49" s="31" t="s">
        <v>311</v>
      </c>
      <c r="F49" s="31">
        <v>350000</v>
      </c>
      <c r="G49" s="31">
        <v>2</v>
      </c>
      <c r="H49" s="31" t="s">
        <v>282</v>
      </c>
      <c r="J49" s="31" t="s">
        <v>312</v>
      </c>
      <c r="K49" s="34"/>
      <c r="L49" s="34"/>
      <c r="M49" s="34"/>
      <c r="N49" s="34"/>
      <c r="O49" s="31" t="s">
        <v>34</v>
      </c>
      <c r="R49" s="31">
        <v>1000000</v>
      </c>
      <c r="S49" s="31" t="s">
        <v>44</v>
      </c>
      <c r="T49" s="31" t="s">
        <v>313</v>
      </c>
      <c r="U49" s="31" t="s">
        <v>314</v>
      </c>
      <c r="AB49" s="41"/>
    </row>
    <row r="50" spans="1:28" ht="48" x14ac:dyDescent="0.35">
      <c r="A50" s="19">
        <v>49</v>
      </c>
      <c r="B50" s="19" t="s">
        <v>315</v>
      </c>
      <c r="C50" s="19" t="s">
        <v>47</v>
      </c>
      <c r="D50" s="19" t="s">
        <v>48</v>
      </c>
      <c r="E50" s="19" t="s">
        <v>316</v>
      </c>
      <c r="F50" s="19">
        <v>10000</v>
      </c>
      <c r="G50" s="19" t="s">
        <v>139</v>
      </c>
      <c r="J50" s="19" t="s">
        <v>317</v>
      </c>
      <c r="O50" s="19" t="s">
        <v>34</v>
      </c>
      <c r="R50" s="19">
        <v>1000000</v>
      </c>
      <c r="S50" s="19" t="s">
        <v>245</v>
      </c>
      <c r="T50" s="19" t="s">
        <v>245</v>
      </c>
      <c r="U50" s="19" t="s">
        <v>318</v>
      </c>
    </row>
    <row r="51" spans="1:28" ht="72" x14ac:dyDescent="0.35">
      <c r="A51" s="19">
        <v>50</v>
      </c>
      <c r="B51" s="19" t="s">
        <v>319</v>
      </c>
      <c r="C51" s="19" t="s">
        <v>320</v>
      </c>
      <c r="D51" s="19" t="s">
        <v>29</v>
      </c>
      <c r="E51" s="19" t="s">
        <v>321</v>
      </c>
      <c r="F51" s="19">
        <v>1</v>
      </c>
      <c r="G51" s="19">
        <v>1</v>
      </c>
      <c r="J51" s="19" t="s">
        <v>322</v>
      </c>
      <c r="R51" s="19">
        <v>3200</v>
      </c>
      <c r="S51" s="19" t="s">
        <v>245</v>
      </c>
      <c r="T51" s="19" t="s">
        <v>245</v>
      </c>
    </row>
    <row r="52" spans="1:28" ht="60" x14ac:dyDescent="0.35">
      <c r="A52" s="19">
        <v>51</v>
      </c>
      <c r="B52" s="19" t="s">
        <v>323</v>
      </c>
      <c r="C52" s="19" t="s">
        <v>324</v>
      </c>
      <c r="D52" s="19" t="s">
        <v>29</v>
      </c>
      <c r="E52" s="19" t="s">
        <v>325</v>
      </c>
      <c r="F52" s="19" t="s">
        <v>326</v>
      </c>
      <c r="G52" s="19" t="s">
        <v>327</v>
      </c>
      <c r="J52" s="19" t="s">
        <v>328</v>
      </c>
      <c r="R52" s="19">
        <v>1200000</v>
      </c>
      <c r="S52" s="19" t="s">
        <v>35</v>
      </c>
      <c r="T52" s="19" t="s">
        <v>45</v>
      </c>
      <c r="U52" s="19" t="s">
        <v>329</v>
      </c>
    </row>
    <row r="53" spans="1:28" ht="24" x14ac:dyDescent="0.35">
      <c r="A53" s="19">
        <v>52</v>
      </c>
      <c r="B53" s="19" t="s">
        <v>330</v>
      </c>
      <c r="C53" s="19" t="s">
        <v>280</v>
      </c>
      <c r="D53" s="19" t="s">
        <v>29</v>
      </c>
      <c r="E53" s="19" t="s">
        <v>331</v>
      </c>
      <c r="F53" s="19">
        <v>80000</v>
      </c>
      <c r="G53" s="19">
        <v>1</v>
      </c>
      <c r="H53" s="19" t="s">
        <v>322</v>
      </c>
      <c r="J53" s="19" t="s">
        <v>332</v>
      </c>
      <c r="O53" s="19" t="s">
        <v>202</v>
      </c>
      <c r="Q53" s="19">
        <v>11800</v>
      </c>
      <c r="R53" s="19">
        <v>1500000</v>
      </c>
      <c r="S53" s="19" t="s">
        <v>113</v>
      </c>
      <c r="T53" s="19" t="s">
        <v>113</v>
      </c>
      <c r="AB53" s="50">
        <v>5</v>
      </c>
    </row>
    <row r="54" spans="1:28" ht="24" x14ac:dyDescent="0.35">
      <c r="A54" s="19">
        <v>53</v>
      </c>
      <c r="B54" s="19" t="s">
        <v>333</v>
      </c>
      <c r="C54" s="19" t="s">
        <v>198</v>
      </c>
      <c r="D54" s="19" t="s">
        <v>63</v>
      </c>
      <c r="E54" s="19" t="s">
        <v>334</v>
      </c>
      <c r="G54" s="19" t="s">
        <v>269</v>
      </c>
      <c r="H54" s="19" t="s">
        <v>335</v>
      </c>
      <c r="J54" s="19" t="s">
        <v>336</v>
      </c>
      <c r="O54" s="19" t="s">
        <v>202</v>
      </c>
      <c r="Q54" s="19">
        <v>10000</v>
      </c>
      <c r="R54" s="19">
        <v>500000</v>
      </c>
      <c r="S54" s="19" t="s">
        <v>113</v>
      </c>
      <c r="T54" s="19" t="s">
        <v>113</v>
      </c>
    </row>
    <row r="55" spans="1:28" x14ac:dyDescent="0.35">
      <c r="A55" s="19">
        <v>54</v>
      </c>
      <c r="B55" s="19" t="s">
        <v>337</v>
      </c>
      <c r="C55" s="19" t="s">
        <v>47</v>
      </c>
      <c r="D55" s="19" t="s">
        <v>55</v>
      </c>
      <c r="E55" s="19" t="s">
        <v>338</v>
      </c>
      <c r="F55" s="19" t="s">
        <v>339</v>
      </c>
      <c r="G55" s="19" t="s">
        <v>340</v>
      </c>
      <c r="H55" s="19" t="s">
        <v>341</v>
      </c>
      <c r="J55" s="19" t="s">
        <v>342</v>
      </c>
      <c r="O55" s="19" t="s">
        <v>343</v>
      </c>
      <c r="Q55" s="19">
        <v>10000</v>
      </c>
      <c r="R55" s="19">
        <v>500000</v>
      </c>
      <c r="S55" s="19" t="s">
        <v>113</v>
      </c>
      <c r="T55" s="19" t="s">
        <v>113</v>
      </c>
    </row>
    <row r="56" spans="1:28" ht="72" x14ac:dyDescent="0.35">
      <c r="A56" s="19">
        <v>55</v>
      </c>
      <c r="B56" s="19" t="s">
        <v>344</v>
      </c>
      <c r="C56" s="19" t="s">
        <v>280</v>
      </c>
      <c r="D56" s="19" t="s">
        <v>29</v>
      </c>
      <c r="E56" s="19" t="s">
        <v>345</v>
      </c>
      <c r="G56" s="19">
        <v>3</v>
      </c>
      <c r="H56" s="19" t="s">
        <v>335</v>
      </c>
      <c r="J56" s="19" t="s">
        <v>346</v>
      </c>
      <c r="O56" s="19" t="s">
        <v>202</v>
      </c>
      <c r="Q56" s="24">
        <v>5725</v>
      </c>
      <c r="R56" s="24">
        <v>212500</v>
      </c>
      <c r="S56" s="19" t="s">
        <v>113</v>
      </c>
      <c r="T56" s="19" t="s">
        <v>113</v>
      </c>
    </row>
    <row r="57" spans="1:28" ht="24" x14ac:dyDescent="0.35">
      <c r="A57" s="19">
        <v>56</v>
      </c>
      <c r="B57" s="19" t="s">
        <v>347</v>
      </c>
      <c r="D57" s="19" t="s">
        <v>48</v>
      </c>
      <c r="E57" s="19" t="s">
        <v>348</v>
      </c>
      <c r="F57" s="19">
        <v>3000</v>
      </c>
      <c r="G57" s="19" t="s">
        <v>349</v>
      </c>
      <c r="J57" s="19" t="s">
        <v>350</v>
      </c>
      <c r="O57" s="19" t="s">
        <v>43</v>
      </c>
      <c r="Q57" s="19">
        <v>0</v>
      </c>
      <c r="R57" s="19">
        <v>0</v>
      </c>
      <c r="S57" s="19" t="s">
        <v>113</v>
      </c>
      <c r="T57" s="19" t="s">
        <v>113</v>
      </c>
      <c r="U57" s="19" t="s">
        <v>351</v>
      </c>
    </row>
    <row r="58" spans="1:28" ht="24" x14ac:dyDescent="0.35">
      <c r="A58" s="19">
        <v>57</v>
      </c>
      <c r="B58" s="19" t="s">
        <v>352</v>
      </c>
      <c r="D58" s="19" t="s">
        <v>48</v>
      </c>
      <c r="E58" s="19" t="s">
        <v>353</v>
      </c>
      <c r="F58" s="19" t="s">
        <v>354</v>
      </c>
      <c r="G58" s="19">
        <v>3</v>
      </c>
      <c r="H58" s="19" t="s">
        <v>341</v>
      </c>
      <c r="J58" s="19" t="s">
        <v>355</v>
      </c>
      <c r="O58" s="19" t="s">
        <v>356</v>
      </c>
      <c r="Q58" s="19">
        <v>5000</v>
      </c>
      <c r="R58" s="19">
        <v>500000</v>
      </c>
      <c r="S58" s="19" t="s">
        <v>113</v>
      </c>
      <c r="T58" s="19" t="s">
        <v>113</v>
      </c>
      <c r="U58" s="19" t="s">
        <v>357</v>
      </c>
    </row>
    <row r="59" spans="1:28" ht="36" x14ac:dyDescent="0.35">
      <c r="A59" s="19">
        <v>58</v>
      </c>
      <c r="B59" s="19" t="s">
        <v>37</v>
      </c>
      <c r="D59" s="19" t="s">
        <v>39</v>
      </c>
      <c r="E59" s="19" t="s">
        <v>358</v>
      </c>
      <c r="F59" s="19" t="s">
        <v>359</v>
      </c>
      <c r="G59" s="19" t="s">
        <v>41</v>
      </c>
      <c r="H59" s="19" t="s">
        <v>328</v>
      </c>
      <c r="J59" s="19" t="s">
        <v>360</v>
      </c>
      <c r="O59" s="19" t="s">
        <v>202</v>
      </c>
      <c r="Q59" s="19">
        <v>0</v>
      </c>
      <c r="R59" s="19">
        <v>2500000</v>
      </c>
      <c r="S59" s="19" t="s">
        <v>113</v>
      </c>
      <c r="T59" s="19" t="s">
        <v>113</v>
      </c>
      <c r="AB59" s="50">
        <v>30</v>
      </c>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4"/>
  <sheetViews>
    <sheetView workbookViewId="0"/>
  </sheetViews>
  <sheetFormatPr defaultColWidth="9.1796875" defaultRowHeight="14.5" x14ac:dyDescent="0.35"/>
  <cols>
    <col min="1" max="1" width="5.1796875" style="5" customWidth="1"/>
    <col min="2" max="3" width="9.1796875" style="5"/>
    <col min="4" max="4" width="16.453125" style="5" customWidth="1"/>
    <col min="5" max="16384" width="9.1796875" style="5"/>
  </cols>
  <sheetData>
    <row r="1" spans="1:20" s="18" customFormat="1" ht="48" x14ac:dyDescent="0.3">
      <c r="A1" s="3" t="s">
        <v>0</v>
      </c>
      <c r="B1" s="3" t="s">
        <v>1</v>
      </c>
      <c r="C1" s="3" t="s">
        <v>2</v>
      </c>
      <c r="D1" s="3" t="s">
        <v>3</v>
      </c>
      <c r="E1" s="3" t="s">
        <v>4</v>
      </c>
      <c r="F1" s="4" t="s">
        <v>5</v>
      </c>
      <c r="G1" s="8" t="s">
        <v>6</v>
      </c>
      <c r="H1" s="3" t="s">
        <v>7</v>
      </c>
      <c r="I1" s="3" t="s">
        <v>8</v>
      </c>
      <c r="J1" s="3" t="s">
        <v>9</v>
      </c>
      <c r="K1" s="3" t="s">
        <v>10</v>
      </c>
      <c r="L1" s="3" t="s">
        <v>11</v>
      </c>
      <c r="M1" s="3" t="s">
        <v>12</v>
      </c>
      <c r="N1" s="3" t="s">
        <v>13</v>
      </c>
      <c r="O1" s="3" t="s">
        <v>14</v>
      </c>
      <c r="P1" s="3" t="s">
        <v>15</v>
      </c>
      <c r="Q1" s="3" t="s">
        <v>16</v>
      </c>
      <c r="R1" s="3" t="s">
        <v>17</v>
      </c>
      <c r="S1" s="3" t="s">
        <v>18</v>
      </c>
      <c r="T1" s="8" t="s">
        <v>19</v>
      </c>
    </row>
    <row r="2" spans="1:20" x14ac:dyDescent="0.35">
      <c r="B2" s="6"/>
      <c r="C2" s="6"/>
      <c r="D2" s="6"/>
      <c r="E2" s="7"/>
      <c r="F2" s="7"/>
      <c r="G2" s="6"/>
      <c r="H2" s="6"/>
      <c r="I2" s="6"/>
      <c r="J2" s="6"/>
      <c r="K2" s="6"/>
      <c r="L2" s="6"/>
      <c r="M2" s="6"/>
      <c r="N2" s="6"/>
      <c r="O2" s="6"/>
      <c r="P2" s="6"/>
    </row>
    <row r="3" spans="1:20" x14ac:dyDescent="0.35">
      <c r="B3" s="6"/>
      <c r="C3" s="6"/>
      <c r="D3" s="6"/>
      <c r="E3" s="7"/>
      <c r="F3" s="7"/>
      <c r="G3" s="6"/>
      <c r="H3" s="6"/>
      <c r="I3" s="6"/>
      <c r="J3" s="6"/>
      <c r="K3" s="6"/>
      <c r="L3" s="6"/>
      <c r="M3" s="6"/>
      <c r="N3" s="6"/>
      <c r="O3" s="6"/>
      <c r="P3" s="6"/>
    </row>
    <row r="4" spans="1:20" x14ac:dyDescent="0.35">
      <c r="B4" s="1"/>
      <c r="C4" s="1"/>
      <c r="D4" s="1"/>
      <c r="E4" s="2"/>
      <c r="F4" s="2"/>
      <c r="G4" s="1"/>
      <c r="H4" s="1"/>
      <c r="I4" s="1"/>
      <c r="J4" s="1"/>
      <c r="K4" s="1"/>
      <c r="L4" s="1"/>
      <c r="M4" s="1"/>
      <c r="N4" s="1"/>
      <c r="O4" s="1"/>
      <c r="P4" s="1"/>
    </row>
    <row r="5" spans="1:20" x14ac:dyDescent="0.35">
      <c r="B5" s="1"/>
      <c r="C5" s="1"/>
      <c r="D5" s="1"/>
      <c r="E5" s="2"/>
      <c r="F5" s="2"/>
      <c r="G5" s="1"/>
      <c r="H5" s="1"/>
      <c r="I5" s="1"/>
      <c r="J5" s="1"/>
      <c r="K5" s="1"/>
      <c r="L5" s="1"/>
      <c r="M5" s="1"/>
      <c r="N5" s="1"/>
      <c r="O5" s="1"/>
      <c r="P5" s="1"/>
    </row>
    <row r="6" spans="1:20" x14ac:dyDescent="0.35">
      <c r="B6" s="1"/>
      <c r="C6" s="1"/>
      <c r="D6" s="1"/>
      <c r="E6" s="2"/>
      <c r="F6" s="2"/>
      <c r="G6" s="1"/>
      <c r="H6" s="1"/>
      <c r="I6" s="1"/>
      <c r="J6" s="1"/>
      <c r="K6" s="1"/>
      <c r="L6" s="1"/>
      <c r="M6" s="1"/>
      <c r="N6" s="1"/>
      <c r="O6" s="1"/>
      <c r="P6" s="1"/>
    </row>
    <row r="7" spans="1:20" x14ac:dyDescent="0.35">
      <c r="B7" s="1"/>
      <c r="C7" s="1"/>
      <c r="D7" s="1"/>
      <c r="E7" s="2"/>
      <c r="F7" s="1"/>
      <c r="G7" s="1"/>
      <c r="H7" s="1"/>
      <c r="I7" s="1"/>
      <c r="J7" s="1"/>
      <c r="K7" s="1"/>
      <c r="L7" s="1"/>
      <c r="M7" s="1"/>
      <c r="N7" s="1"/>
      <c r="O7" s="1"/>
      <c r="P7" s="1"/>
    </row>
    <row r="8" spans="1:20" x14ac:dyDescent="0.35">
      <c r="B8" s="1"/>
      <c r="C8" s="1"/>
      <c r="D8" s="1"/>
      <c r="E8" s="2"/>
      <c r="F8" s="1"/>
      <c r="G8" s="1"/>
      <c r="H8" s="1"/>
      <c r="I8" s="1"/>
      <c r="J8" s="1"/>
      <c r="K8" s="1"/>
      <c r="L8" s="1"/>
      <c r="M8" s="1"/>
      <c r="N8" s="1"/>
      <c r="O8" s="1"/>
      <c r="P8" s="1"/>
    </row>
    <row r="10" spans="1:20" x14ac:dyDescent="0.35">
      <c r="B10" s="9"/>
      <c r="C10" s="9"/>
    </row>
    <row r="11" spans="1:20" x14ac:dyDescent="0.35">
      <c r="B11" s="9"/>
      <c r="C11" s="9"/>
    </row>
    <row r="12" spans="1:20" x14ac:dyDescent="0.35">
      <c r="B12" s="9"/>
      <c r="C12" s="9"/>
    </row>
    <row r="13" spans="1:20" x14ac:dyDescent="0.35">
      <c r="B13" s="9"/>
      <c r="C13" s="9"/>
    </row>
    <row r="14" spans="1:20" x14ac:dyDescent="0.35">
      <c r="B14" s="9"/>
      <c r="C14"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heetViews>
  <sheetFormatPr defaultColWidth="8.90625" defaultRowHeight="14.5" x14ac:dyDescent="0.35"/>
  <cols>
    <col min="1" max="1" width="8.90625" style="25"/>
    <col min="2" max="2" width="36.08984375" style="5" customWidth="1"/>
    <col min="3" max="3" width="14.81640625" style="5" customWidth="1"/>
    <col min="4" max="4" width="20.6328125" style="5" customWidth="1"/>
    <col min="5" max="5" width="28.453125" style="5" customWidth="1"/>
    <col min="6" max="16384" width="8.90625" style="5"/>
  </cols>
  <sheetData>
    <row r="1" spans="1:5" s="26" customFormat="1" ht="43.5" x14ac:dyDescent="0.35">
      <c r="A1" s="30" t="s">
        <v>361</v>
      </c>
      <c r="B1" s="30" t="s">
        <v>362</v>
      </c>
      <c r="C1" s="30" t="s">
        <v>363</v>
      </c>
      <c r="D1" s="30" t="s">
        <v>364</v>
      </c>
      <c r="E1" s="30" t="s">
        <v>365</v>
      </c>
    </row>
    <row r="2" spans="1:5" ht="28" customHeight="1" x14ac:dyDescent="0.35">
      <c r="A2" s="25">
        <v>1</v>
      </c>
      <c r="B2" s="5" t="s">
        <v>366</v>
      </c>
      <c r="C2" s="29">
        <v>150</v>
      </c>
      <c r="D2" s="25"/>
      <c r="E2" s="5" t="s">
        <v>367</v>
      </c>
    </row>
    <row r="3" spans="1:5" ht="72.5" x14ac:dyDescent="0.35">
      <c r="A3" s="25">
        <v>2</v>
      </c>
      <c r="B3" s="5" t="s">
        <v>368</v>
      </c>
      <c r="C3" s="25"/>
      <c r="D3" s="27">
        <v>39</v>
      </c>
    </row>
    <row r="4" spans="1:5" ht="58" x14ac:dyDescent="0.35">
      <c r="A4" s="25">
        <v>3</v>
      </c>
      <c r="B4" s="5" t="s">
        <v>369</v>
      </c>
      <c r="C4" s="25"/>
      <c r="D4" s="28">
        <v>17</v>
      </c>
      <c r="E4" s="5" t="s">
        <v>370</v>
      </c>
    </row>
    <row r="5" spans="1:5" ht="43.5" x14ac:dyDescent="0.35">
      <c r="A5" s="25">
        <v>4</v>
      </c>
      <c r="B5" s="5" t="s">
        <v>371</v>
      </c>
      <c r="C5" s="25"/>
      <c r="D5" s="25">
        <v>12</v>
      </c>
      <c r="E5" s="5" t="s">
        <v>372</v>
      </c>
    </row>
    <row r="6" spans="1:5" x14ac:dyDescent="0.35">
      <c r="A6" s="25">
        <v>5</v>
      </c>
      <c r="B6" s="5" t="s">
        <v>373</v>
      </c>
      <c r="C6" s="25"/>
      <c r="D6" s="25">
        <v>1</v>
      </c>
      <c r="E6" s="5" t="s">
        <v>374</v>
      </c>
    </row>
    <row r="7" spans="1:5" x14ac:dyDescent="0.35">
      <c r="A7" s="25">
        <v>6</v>
      </c>
      <c r="B7" s="5" t="s">
        <v>375</v>
      </c>
      <c r="C7" s="25"/>
      <c r="D7" s="25">
        <v>4</v>
      </c>
    </row>
    <row r="8" spans="1:5" x14ac:dyDescent="0.35">
      <c r="A8" s="25">
        <v>7</v>
      </c>
      <c r="B8" s="5" t="s">
        <v>376</v>
      </c>
      <c r="C8" s="25"/>
      <c r="D8" s="25">
        <v>5</v>
      </c>
    </row>
    <row r="9" spans="1:5" x14ac:dyDescent="0.35">
      <c r="A9" s="25">
        <v>8</v>
      </c>
      <c r="B9" s="5" t="s">
        <v>377</v>
      </c>
      <c r="C9" s="25">
        <f>C2-D3</f>
        <v>111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E1:G18"/>
  <sheetViews>
    <sheetView workbookViewId="0"/>
  </sheetViews>
  <sheetFormatPr defaultRowHeight="14.5" x14ac:dyDescent="0.35"/>
  <cols>
    <col min="2" max="2" width="15.81640625" customWidth="1"/>
    <col min="5" max="5" width="12.1796875" customWidth="1"/>
    <col min="6" max="6" width="17.81640625" customWidth="1"/>
  </cols>
  <sheetData>
    <row r="1" spans="5:7" x14ac:dyDescent="0.35">
      <c r="F1" t="s">
        <v>378</v>
      </c>
    </row>
    <row r="2" spans="5:7" x14ac:dyDescent="0.35">
      <c r="E2" s="52" t="s">
        <v>379</v>
      </c>
      <c r="F2" s="11" t="s">
        <v>51</v>
      </c>
      <c r="G2" s="11">
        <v>27</v>
      </c>
    </row>
    <row r="3" spans="5:7" x14ac:dyDescent="0.35">
      <c r="E3" s="52"/>
      <c r="F3" s="11" t="s">
        <v>380</v>
      </c>
      <c r="G3" s="11">
        <v>38</v>
      </c>
    </row>
    <row r="4" spans="5:7" x14ac:dyDescent="0.35">
      <c r="E4" s="52"/>
      <c r="F4" s="11" t="s">
        <v>381</v>
      </c>
      <c r="G4" s="11">
        <v>2</v>
      </c>
    </row>
    <row r="5" spans="5:7" x14ac:dyDescent="0.35">
      <c r="E5" s="52"/>
      <c r="F5" s="11" t="s">
        <v>382</v>
      </c>
      <c r="G5" s="11">
        <v>3</v>
      </c>
    </row>
    <row r="6" spans="5:7" x14ac:dyDescent="0.35">
      <c r="E6" s="52"/>
      <c r="F6" s="11" t="s">
        <v>383</v>
      </c>
      <c r="G6" s="12">
        <f>SUM(G2:G5)</f>
        <v>70</v>
      </c>
    </row>
    <row r="8" spans="5:7" x14ac:dyDescent="0.35">
      <c r="E8" s="51" t="s">
        <v>44</v>
      </c>
      <c r="F8" s="10" t="s">
        <v>384</v>
      </c>
      <c r="G8" s="10">
        <v>10</v>
      </c>
    </row>
    <row r="9" spans="5:7" x14ac:dyDescent="0.35">
      <c r="E9" s="51"/>
      <c r="F9" s="10" t="s">
        <v>385</v>
      </c>
      <c r="G9" s="10">
        <v>1</v>
      </c>
    </row>
    <row r="10" spans="5:7" x14ac:dyDescent="0.35">
      <c r="E10" s="51"/>
      <c r="F10" s="10" t="s">
        <v>386</v>
      </c>
      <c r="G10" s="10">
        <v>7</v>
      </c>
    </row>
    <row r="11" spans="5:7" x14ac:dyDescent="0.35">
      <c r="E11" s="51"/>
      <c r="F11" s="10" t="s">
        <v>387</v>
      </c>
      <c r="G11" s="10">
        <v>5</v>
      </c>
    </row>
    <row r="12" spans="5:7" x14ac:dyDescent="0.35">
      <c r="E12" s="51"/>
      <c r="F12" s="10" t="s">
        <v>388</v>
      </c>
      <c r="G12" s="10">
        <v>1</v>
      </c>
    </row>
    <row r="13" spans="5:7" x14ac:dyDescent="0.35">
      <c r="E13" s="14"/>
      <c r="F13" s="10" t="s">
        <v>389</v>
      </c>
      <c r="G13" s="10">
        <v>3</v>
      </c>
    </row>
    <row r="14" spans="5:7" x14ac:dyDescent="0.35">
      <c r="E14" s="9"/>
      <c r="F14" s="10" t="s">
        <v>383</v>
      </c>
      <c r="G14" s="13">
        <f>SUM(G8:G13)</f>
        <v>27</v>
      </c>
    </row>
    <row r="15" spans="5:7" x14ac:dyDescent="0.35">
      <c r="G15" s="15"/>
    </row>
    <row r="17" spans="6:7" x14ac:dyDescent="0.35">
      <c r="F17" s="16" t="s">
        <v>390</v>
      </c>
      <c r="G17" s="17">
        <f>G14/G6</f>
        <v>0.38571428571428573</v>
      </c>
    </row>
    <row r="18" spans="6:7" x14ac:dyDescent="0.35">
      <c r="F18" s="16" t="s">
        <v>391</v>
      </c>
      <c r="G18" s="17">
        <f>G8/G14</f>
        <v>0.37037037037037035</v>
      </c>
    </row>
  </sheetData>
  <mergeCells count="2">
    <mergeCell ref="E8:E12"/>
    <mergeCell ref="E2:E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9"/>
  <sheetViews>
    <sheetView workbookViewId="0"/>
  </sheetViews>
  <sheetFormatPr defaultRowHeight="14.5" x14ac:dyDescent="0.35"/>
  <cols>
    <col min="1" max="1" width="9" customWidth="1"/>
    <col min="2" max="2" width="30" customWidth="1"/>
    <col min="3" max="3" width="55" customWidth="1"/>
    <col min="4" max="4" width="26" customWidth="1"/>
    <col min="5" max="6" width="14" customWidth="1"/>
    <col min="7" max="7" width="35" customWidth="1"/>
    <col min="8" max="8" width="32" customWidth="1"/>
    <col min="9" max="9" width="12" customWidth="1"/>
    <col min="10" max="10" width="75" customWidth="1"/>
    <col min="12" max="12" width="24" customWidth="1"/>
    <col min="13" max="13" width="80" customWidth="1"/>
  </cols>
  <sheetData>
    <row r="1" spans="1:13" x14ac:dyDescent="0.35">
      <c r="A1" s="44" t="s">
        <v>0</v>
      </c>
      <c r="B1" s="44" t="s">
        <v>1</v>
      </c>
      <c r="C1" s="44" t="s">
        <v>405</v>
      </c>
      <c r="D1" s="44" t="s">
        <v>406</v>
      </c>
      <c r="E1" s="44" t="s">
        <v>392</v>
      </c>
      <c r="F1" s="44" t="s">
        <v>407</v>
      </c>
      <c r="G1" s="44" t="s">
        <v>408</v>
      </c>
      <c r="H1" s="44" t="s">
        <v>409</v>
      </c>
      <c r="I1" s="44" t="s">
        <v>410</v>
      </c>
      <c r="J1" s="44" t="s">
        <v>411</v>
      </c>
      <c r="L1" s="44" t="s">
        <v>412</v>
      </c>
      <c r="M1" s="44" t="s">
        <v>413</v>
      </c>
    </row>
    <row r="2" spans="1:13" ht="43.5" x14ac:dyDescent="0.35">
      <c r="A2" s="46">
        <v>1</v>
      </c>
      <c r="B2" s="46" t="s">
        <v>27</v>
      </c>
      <c r="C2" s="46" t="s">
        <v>414</v>
      </c>
      <c r="D2" s="46" t="s">
        <v>393</v>
      </c>
      <c r="E2" s="45"/>
      <c r="F2" s="45"/>
      <c r="G2" s="46" t="s">
        <v>415</v>
      </c>
      <c r="H2" s="46"/>
      <c r="I2" s="46"/>
      <c r="J2" s="46" t="s">
        <v>416</v>
      </c>
      <c r="L2" s="46" t="s">
        <v>417</v>
      </c>
      <c r="M2" s="46" t="s">
        <v>418</v>
      </c>
    </row>
    <row r="3" spans="1:13" ht="29" x14ac:dyDescent="0.35">
      <c r="A3" s="46">
        <v>2</v>
      </c>
      <c r="B3" s="46" t="s">
        <v>37</v>
      </c>
      <c r="C3" s="46" t="s">
        <v>40</v>
      </c>
      <c r="D3" s="46" t="s">
        <v>393</v>
      </c>
      <c r="E3" s="45"/>
      <c r="F3" s="45"/>
      <c r="G3" s="46" t="s">
        <v>415</v>
      </c>
      <c r="H3" s="46"/>
      <c r="I3" s="46"/>
      <c r="J3" s="46" t="s">
        <v>416</v>
      </c>
      <c r="L3" s="46" t="s">
        <v>419</v>
      </c>
      <c r="M3" s="46" t="s">
        <v>420</v>
      </c>
    </row>
    <row r="4" spans="1:13" ht="29" x14ac:dyDescent="0.35">
      <c r="A4" s="46">
        <v>3</v>
      </c>
      <c r="B4" s="46" t="s">
        <v>46</v>
      </c>
      <c r="C4" s="46" t="s">
        <v>49</v>
      </c>
      <c r="D4" s="46" t="s">
        <v>393</v>
      </c>
      <c r="E4" s="45"/>
      <c r="F4" s="45"/>
      <c r="G4" s="46" t="s">
        <v>415</v>
      </c>
      <c r="H4" s="46"/>
      <c r="I4" s="46"/>
      <c r="J4" s="46" t="s">
        <v>416</v>
      </c>
      <c r="L4" s="46" t="s">
        <v>421</v>
      </c>
      <c r="M4" s="46" t="s">
        <v>422</v>
      </c>
    </row>
    <row r="5" spans="1:13" ht="43.5" x14ac:dyDescent="0.35">
      <c r="A5" s="46">
        <v>4</v>
      </c>
      <c r="B5" s="46" t="s">
        <v>54</v>
      </c>
      <c r="C5" s="46" t="s">
        <v>423</v>
      </c>
      <c r="D5" s="46" t="s">
        <v>393</v>
      </c>
      <c r="E5" s="45"/>
      <c r="F5" s="45"/>
      <c r="G5" s="46" t="s">
        <v>415</v>
      </c>
      <c r="H5" s="46"/>
      <c r="I5" s="46"/>
      <c r="J5" s="46" t="s">
        <v>416</v>
      </c>
      <c r="L5" s="46" t="s">
        <v>424</v>
      </c>
      <c r="M5" s="46" t="s">
        <v>425</v>
      </c>
    </row>
    <row r="6" spans="1:13" ht="43.5" x14ac:dyDescent="0.35">
      <c r="A6" s="46">
        <v>5</v>
      </c>
      <c r="B6" s="46" t="s">
        <v>61</v>
      </c>
      <c r="C6" s="46" t="s">
        <v>64</v>
      </c>
      <c r="D6" s="46" t="s">
        <v>393</v>
      </c>
      <c r="E6" s="45"/>
      <c r="F6" s="45"/>
      <c r="G6" s="46" t="s">
        <v>415</v>
      </c>
      <c r="H6" s="46"/>
      <c r="I6" s="46"/>
      <c r="J6" s="46" t="s">
        <v>416</v>
      </c>
      <c r="L6" s="46" t="s">
        <v>426</v>
      </c>
      <c r="M6" s="46" t="s">
        <v>427</v>
      </c>
    </row>
    <row r="7" spans="1:13" ht="29" x14ac:dyDescent="0.35">
      <c r="A7" s="46">
        <v>6</v>
      </c>
      <c r="B7" s="46" t="s">
        <v>69</v>
      </c>
      <c r="C7" s="46" t="s">
        <v>70</v>
      </c>
      <c r="D7" s="46" t="s">
        <v>394</v>
      </c>
      <c r="E7" s="45">
        <v>10</v>
      </c>
      <c r="F7" s="45">
        <v>20</v>
      </c>
      <c r="G7" s="46" t="s">
        <v>415</v>
      </c>
      <c r="H7" s="46" t="s">
        <v>428</v>
      </c>
      <c r="I7" s="46">
        <v>8</v>
      </c>
      <c r="J7" s="46" t="s">
        <v>429</v>
      </c>
      <c r="L7" s="46" t="s">
        <v>430</v>
      </c>
      <c r="M7" s="46" t="s">
        <v>431</v>
      </c>
    </row>
    <row r="8" spans="1:13" ht="29" x14ac:dyDescent="0.35">
      <c r="A8" s="46">
        <v>7</v>
      </c>
      <c r="B8" s="46" t="s">
        <v>74</v>
      </c>
      <c r="C8" s="46" t="s">
        <v>432</v>
      </c>
      <c r="D8" s="46" t="s">
        <v>393</v>
      </c>
      <c r="E8" s="45"/>
      <c r="F8" s="45"/>
      <c r="G8" s="46" t="s">
        <v>415</v>
      </c>
      <c r="H8" s="46"/>
      <c r="I8" s="46"/>
      <c r="J8" s="46" t="s">
        <v>416</v>
      </c>
      <c r="L8" s="46" t="s">
        <v>433</v>
      </c>
      <c r="M8" s="46" t="s">
        <v>434</v>
      </c>
    </row>
    <row r="9" spans="1:13" ht="43.5" x14ac:dyDescent="0.35">
      <c r="A9" s="46">
        <v>8</v>
      </c>
      <c r="B9" s="46" t="s">
        <v>83</v>
      </c>
      <c r="C9" s="46" t="s">
        <v>435</v>
      </c>
      <c r="D9" s="46" t="s">
        <v>393</v>
      </c>
      <c r="E9" s="45"/>
      <c r="F9" s="45"/>
      <c r="G9" s="46" t="s">
        <v>415</v>
      </c>
      <c r="H9" s="46"/>
      <c r="I9" s="46"/>
      <c r="J9" s="46" t="s">
        <v>416</v>
      </c>
      <c r="L9" s="44" t="s">
        <v>436</v>
      </c>
      <c r="M9" s="46" t="s">
        <v>437</v>
      </c>
    </row>
    <row r="10" spans="1:13" ht="29" x14ac:dyDescent="0.35">
      <c r="A10" s="46">
        <v>9</v>
      </c>
      <c r="B10" s="46" t="s">
        <v>92</v>
      </c>
      <c r="C10" s="46" t="s">
        <v>93</v>
      </c>
      <c r="D10" s="46" t="s">
        <v>393</v>
      </c>
      <c r="E10" s="45"/>
      <c r="F10" s="45"/>
      <c r="G10" s="46" t="s">
        <v>415</v>
      </c>
      <c r="H10" s="46"/>
      <c r="I10" s="46"/>
      <c r="J10" s="46" t="s">
        <v>416</v>
      </c>
    </row>
    <row r="11" spans="1:13" ht="43.5" x14ac:dyDescent="0.35">
      <c r="A11" s="46">
        <v>10</v>
      </c>
      <c r="B11" s="46" t="s">
        <v>98</v>
      </c>
      <c r="C11" s="46" t="s">
        <v>438</v>
      </c>
      <c r="D11" s="46" t="s">
        <v>393</v>
      </c>
      <c r="E11" s="45"/>
      <c r="F11" s="45"/>
      <c r="G11" s="46" t="s">
        <v>415</v>
      </c>
      <c r="H11" s="46"/>
      <c r="I11" s="46"/>
      <c r="J11" s="46" t="s">
        <v>416</v>
      </c>
    </row>
    <row r="12" spans="1:13" ht="43.5" x14ac:dyDescent="0.35">
      <c r="A12" s="46">
        <v>11</v>
      </c>
      <c r="B12" s="46" t="s">
        <v>69</v>
      </c>
      <c r="C12" s="46" t="s">
        <v>102</v>
      </c>
      <c r="D12" s="46" t="s">
        <v>393</v>
      </c>
      <c r="E12" s="45"/>
      <c r="F12" s="45"/>
      <c r="G12" s="46" t="s">
        <v>415</v>
      </c>
      <c r="H12" s="46"/>
      <c r="I12" s="46"/>
      <c r="J12" s="46" t="s">
        <v>416</v>
      </c>
    </row>
    <row r="13" spans="1:13" ht="29" x14ac:dyDescent="0.35">
      <c r="A13" s="46">
        <v>12</v>
      </c>
      <c r="B13" s="46" t="s">
        <v>108</v>
      </c>
      <c r="C13" s="46" t="s">
        <v>439</v>
      </c>
      <c r="D13" s="46" t="s">
        <v>393</v>
      </c>
      <c r="E13" s="45"/>
      <c r="F13" s="45"/>
      <c r="G13" s="46" t="s">
        <v>415</v>
      </c>
      <c r="H13" s="46"/>
      <c r="I13" s="46"/>
      <c r="J13" s="46" t="s">
        <v>416</v>
      </c>
    </row>
    <row r="14" spans="1:13" ht="29" x14ac:dyDescent="0.35">
      <c r="A14" s="46">
        <v>13</v>
      </c>
      <c r="B14" s="46" t="s">
        <v>115</v>
      </c>
      <c r="C14" s="46" t="s">
        <v>117</v>
      </c>
      <c r="D14" s="46" t="s">
        <v>393</v>
      </c>
      <c r="E14" s="45"/>
      <c r="F14" s="45"/>
      <c r="G14" s="46" t="s">
        <v>415</v>
      </c>
      <c r="H14" s="46"/>
      <c r="I14" s="46"/>
      <c r="J14" s="46" t="s">
        <v>416</v>
      </c>
    </row>
    <row r="15" spans="1:13" ht="29" x14ac:dyDescent="0.35">
      <c r="A15" s="46">
        <v>14</v>
      </c>
      <c r="B15" s="46" t="s">
        <v>121</v>
      </c>
      <c r="C15" s="46" t="s">
        <v>123</v>
      </c>
      <c r="D15" s="46" t="s">
        <v>393</v>
      </c>
      <c r="E15" s="45"/>
      <c r="F15" s="45"/>
      <c r="G15" s="46" t="s">
        <v>415</v>
      </c>
      <c r="H15" s="46"/>
      <c r="I15" s="46"/>
      <c r="J15" s="46" t="s">
        <v>416</v>
      </c>
    </row>
    <row r="16" spans="1:13" ht="29" x14ac:dyDescent="0.35">
      <c r="A16" s="46">
        <v>15</v>
      </c>
      <c r="B16" s="46" t="s">
        <v>125</v>
      </c>
      <c r="C16" s="46" t="s">
        <v>126</v>
      </c>
      <c r="D16" s="46" t="s">
        <v>393</v>
      </c>
      <c r="E16" s="45"/>
      <c r="F16" s="45"/>
      <c r="G16" s="46" t="s">
        <v>415</v>
      </c>
      <c r="H16" s="46"/>
      <c r="I16" s="46"/>
      <c r="J16" s="46" t="s">
        <v>416</v>
      </c>
    </row>
    <row r="17" spans="1:10" ht="58" x14ac:dyDescent="0.35">
      <c r="A17" s="46">
        <v>16</v>
      </c>
      <c r="B17" s="46" t="s">
        <v>130</v>
      </c>
      <c r="C17" s="46" t="s">
        <v>131</v>
      </c>
      <c r="D17" s="46" t="s">
        <v>393</v>
      </c>
      <c r="E17" s="45"/>
      <c r="F17" s="45"/>
      <c r="G17" s="46" t="s">
        <v>415</v>
      </c>
      <c r="H17" s="46"/>
      <c r="I17" s="46"/>
      <c r="J17" s="46" t="s">
        <v>416</v>
      </c>
    </row>
    <row r="18" spans="1:10" ht="29" x14ac:dyDescent="0.35">
      <c r="A18" s="46">
        <v>17</v>
      </c>
      <c r="B18" s="46" t="s">
        <v>136</v>
      </c>
      <c r="C18" s="46" t="s">
        <v>137</v>
      </c>
      <c r="D18" s="46" t="s">
        <v>393</v>
      </c>
      <c r="E18" s="45"/>
      <c r="F18" s="45"/>
      <c r="G18" s="46" t="s">
        <v>415</v>
      </c>
      <c r="H18" s="46"/>
      <c r="I18" s="46"/>
      <c r="J18" s="46" t="s">
        <v>416</v>
      </c>
    </row>
    <row r="19" spans="1:10" ht="29" x14ac:dyDescent="0.35">
      <c r="A19" s="46">
        <v>18</v>
      </c>
      <c r="B19" s="46" t="s">
        <v>141</v>
      </c>
      <c r="C19" s="46" t="s">
        <v>126</v>
      </c>
      <c r="D19" s="46" t="s">
        <v>393</v>
      </c>
      <c r="E19" s="45"/>
      <c r="F19" s="45"/>
      <c r="G19" s="46" t="s">
        <v>415</v>
      </c>
      <c r="H19" s="46"/>
      <c r="I19" s="46"/>
      <c r="J19" s="46" t="s">
        <v>416</v>
      </c>
    </row>
    <row r="20" spans="1:10" ht="29" x14ac:dyDescent="0.35">
      <c r="A20" s="46">
        <v>19</v>
      </c>
      <c r="B20" s="46" t="s">
        <v>142</v>
      </c>
      <c r="C20" s="46" t="s">
        <v>440</v>
      </c>
      <c r="D20" s="46" t="s">
        <v>393</v>
      </c>
      <c r="E20" s="45"/>
      <c r="F20" s="45"/>
      <c r="G20" s="46" t="s">
        <v>415</v>
      </c>
      <c r="H20" s="46"/>
      <c r="I20" s="46"/>
      <c r="J20" s="46" t="s">
        <v>416</v>
      </c>
    </row>
    <row r="21" spans="1:10" ht="29" x14ac:dyDescent="0.35">
      <c r="A21" s="46">
        <v>20</v>
      </c>
      <c r="B21" s="46" t="s">
        <v>69</v>
      </c>
      <c r="C21" s="46" t="s">
        <v>441</v>
      </c>
      <c r="D21" s="46" t="s">
        <v>393</v>
      </c>
      <c r="E21" s="45"/>
      <c r="F21" s="45"/>
      <c r="G21" s="46" t="s">
        <v>415</v>
      </c>
      <c r="H21" s="46"/>
      <c r="I21" s="46"/>
      <c r="J21" s="46" t="s">
        <v>416</v>
      </c>
    </row>
    <row r="22" spans="1:10" ht="29" x14ac:dyDescent="0.35">
      <c r="A22" s="46">
        <v>21</v>
      </c>
      <c r="B22" s="46" t="s">
        <v>150</v>
      </c>
      <c r="C22" s="46" t="s">
        <v>151</v>
      </c>
      <c r="D22" s="46" t="s">
        <v>393</v>
      </c>
      <c r="E22" s="45"/>
      <c r="F22" s="45"/>
      <c r="G22" s="46" t="s">
        <v>415</v>
      </c>
      <c r="H22" s="46"/>
      <c r="I22" s="46"/>
      <c r="J22" s="46" t="s">
        <v>416</v>
      </c>
    </row>
    <row r="23" spans="1:10" ht="29" x14ac:dyDescent="0.35">
      <c r="A23" s="46">
        <v>22</v>
      </c>
      <c r="B23" s="46" t="s">
        <v>152</v>
      </c>
      <c r="C23" s="46" t="s">
        <v>153</v>
      </c>
      <c r="D23" s="46" t="s">
        <v>393</v>
      </c>
      <c r="E23" s="45"/>
      <c r="F23" s="45"/>
      <c r="G23" s="46" t="s">
        <v>415</v>
      </c>
      <c r="H23" s="46"/>
      <c r="I23" s="46"/>
      <c r="J23" s="46" t="s">
        <v>416</v>
      </c>
    </row>
    <row r="24" spans="1:10" ht="43.5" x14ac:dyDescent="0.35">
      <c r="A24" s="46">
        <v>23</v>
      </c>
      <c r="B24" s="46" t="s">
        <v>157</v>
      </c>
      <c r="C24" s="46" t="s">
        <v>159</v>
      </c>
      <c r="D24" s="46" t="s">
        <v>394</v>
      </c>
      <c r="E24" s="45">
        <v>0.42659999999999998</v>
      </c>
      <c r="F24" s="45">
        <v>0.42659999999999998</v>
      </c>
      <c r="G24" s="46" t="s">
        <v>415</v>
      </c>
      <c r="H24" s="46" t="s">
        <v>442</v>
      </c>
      <c r="I24" s="46">
        <v>7</v>
      </c>
      <c r="J24" s="46" t="s">
        <v>443</v>
      </c>
    </row>
    <row r="25" spans="1:10" ht="29" x14ac:dyDescent="0.35">
      <c r="A25" s="46">
        <v>24</v>
      </c>
      <c r="B25" s="46" t="s">
        <v>164</v>
      </c>
      <c r="C25" s="46" t="s">
        <v>165</v>
      </c>
      <c r="D25" s="46" t="s">
        <v>393</v>
      </c>
      <c r="E25" s="45"/>
      <c r="F25" s="45"/>
      <c r="G25" s="46" t="s">
        <v>415</v>
      </c>
      <c r="H25" s="46"/>
      <c r="I25" s="46"/>
      <c r="J25" s="46" t="s">
        <v>416</v>
      </c>
    </row>
    <row r="26" spans="1:10" ht="29" x14ac:dyDescent="0.35">
      <c r="A26" s="46">
        <v>25</v>
      </c>
      <c r="B26" s="46" t="s">
        <v>37</v>
      </c>
      <c r="C26" s="46" t="s">
        <v>167</v>
      </c>
      <c r="D26" s="46" t="s">
        <v>395</v>
      </c>
      <c r="E26" s="45">
        <v>0.9</v>
      </c>
      <c r="F26" s="45">
        <v>4.5</v>
      </c>
      <c r="G26" s="46" t="s">
        <v>415</v>
      </c>
      <c r="H26" s="46" t="s">
        <v>428</v>
      </c>
      <c r="I26" s="46">
        <v>10</v>
      </c>
      <c r="J26" s="46" t="s">
        <v>396</v>
      </c>
    </row>
    <row r="27" spans="1:10" ht="58" x14ac:dyDescent="0.35">
      <c r="A27" s="46">
        <v>26</v>
      </c>
      <c r="B27" s="46" t="s">
        <v>170</v>
      </c>
      <c r="C27" s="46" t="s">
        <v>444</v>
      </c>
      <c r="D27" s="46" t="s">
        <v>393</v>
      </c>
      <c r="E27" s="45"/>
      <c r="F27" s="45"/>
      <c r="G27" s="46" t="s">
        <v>415</v>
      </c>
      <c r="H27" s="46"/>
      <c r="I27" s="46"/>
      <c r="J27" s="46" t="s">
        <v>416</v>
      </c>
    </row>
    <row r="28" spans="1:10" ht="43.5" x14ac:dyDescent="0.35">
      <c r="A28" s="46">
        <v>27</v>
      </c>
      <c r="B28" s="46" t="s">
        <v>175</v>
      </c>
      <c r="C28" s="46" t="s">
        <v>176</v>
      </c>
      <c r="D28" s="46" t="s">
        <v>393</v>
      </c>
      <c r="E28" s="45"/>
      <c r="F28" s="45"/>
      <c r="G28" s="46" t="s">
        <v>415</v>
      </c>
      <c r="H28" s="46"/>
      <c r="I28" s="46"/>
      <c r="J28" s="46" t="s">
        <v>416</v>
      </c>
    </row>
    <row r="29" spans="1:10" ht="29" x14ac:dyDescent="0.35">
      <c r="A29" s="46">
        <v>28</v>
      </c>
      <c r="B29" s="46" t="s">
        <v>181</v>
      </c>
      <c r="C29" s="46" t="s">
        <v>445</v>
      </c>
      <c r="D29" s="46" t="s">
        <v>393</v>
      </c>
      <c r="E29" s="45"/>
      <c r="F29" s="45"/>
      <c r="G29" s="46" t="s">
        <v>415</v>
      </c>
      <c r="H29" s="46"/>
      <c r="I29" s="46"/>
      <c r="J29" s="46" t="s">
        <v>416</v>
      </c>
    </row>
    <row r="30" spans="1:10" ht="58" x14ac:dyDescent="0.35">
      <c r="A30" s="46">
        <v>29</v>
      </c>
      <c r="B30" s="46" t="s">
        <v>184</v>
      </c>
      <c r="C30" s="46" t="s">
        <v>446</v>
      </c>
      <c r="D30" s="46" t="s">
        <v>395</v>
      </c>
      <c r="E30" s="45">
        <v>0.6</v>
      </c>
      <c r="F30" s="45">
        <v>0.6</v>
      </c>
      <c r="G30" s="46" t="s">
        <v>415</v>
      </c>
      <c r="H30" s="46" t="s">
        <v>428</v>
      </c>
      <c r="I30" s="46">
        <v>13</v>
      </c>
      <c r="J30" s="46" t="s">
        <v>397</v>
      </c>
    </row>
    <row r="31" spans="1:10" ht="58" x14ac:dyDescent="0.35">
      <c r="A31" s="46">
        <v>30</v>
      </c>
      <c r="B31" s="46" t="s">
        <v>447</v>
      </c>
      <c r="C31" s="46" t="s">
        <v>448</v>
      </c>
      <c r="D31" s="46" t="s">
        <v>393</v>
      </c>
      <c r="E31" s="45"/>
      <c r="F31" s="45"/>
      <c r="G31" s="46" t="s">
        <v>415</v>
      </c>
      <c r="H31" s="46"/>
      <c r="I31" s="46"/>
      <c r="J31" s="46" t="s">
        <v>416</v>
      </c>
    </row>
    <row r="32" spans="1:10" ht="29" x14ac:dyDescent="0.35">
      <c r="A32" s="46">
        <v>31</v>
      </c>
      <c r="B32" s="46" t="s">
        <v>197</v>
      </c>
      <c r="C32" s="46" t="s">
        <v>199</v>
      </c>
      <c r="D32" s="46" t="s">
        <v>394</v>
      </c>
      <c r="E32" s="45">
        <v>10</v>
      </c>
      <c r="F32" s="45">
        <v>20</v>
      </c>
      <c r="G32" s="46" t="s">
        <v>415</v>
      </c>
      <c r="H32" s="46" t="s">
        <v>442</v>
      </c>
      <c r="I32" s="46">
        <v>14</v>
      </c>
      <c r="J32" s="46" t="s">
        <v>449</v>
      </c>
    </row>
    <row r="33" spans="1:10" ht="58" x14ac:dyDescent="0.35">
      <c r="A33" s="46">
        <v>32</v>
      </c>
      <c r="B33" s="46" t="s">
        <v>204</v>
      </c>
      <c r="C33" s="46" t="s">
        <v>450</v>
      </c>
      <c r="D33" s="46" t="s">
        <v>395</v>
      </c>
      <c r="E33" s="45">
        <v>2.5</v>
      </c>
      <c r="F33" s="45">
        <v>7.5</v>
      </c>
      <c r="G33" s="46" t="s">
        <v>415</v>
      </c>
      <c r="H33" s="46" t="s">
        <v>428</v>
      </c>
      <c r="I33" s="46">
        <v>11</v>
      </c>
      <c r="J33" s="46" t="s">
        <v>398</v>
      </c>
    </row>
    <row r="34" spans="1:10" ht="43.5" x14ac:dyDescent="0.35">
      <c r="A34" s="46">
        <v>33</v>
      </c>
      <c r="B34" s="46" t="s">
        <v>211</v>
      </c>
      <c r="C34" s="46" t="s">
        <v>214</v>
      </c>
      <c r="D34" s="46" t="s">
        <v>395</v>
      </c>
      <c r="E34" s="45">
        <v>0.25</v>
      </c>
      <c r="F34" s="45">
        <v>0.75</v>
      </c>
      <c r="G34" s="46" t="s">
        <v>415</v>
      </c>
      <c r="H34" s="46" t="s">
        <v>428</v>
      </c>
      <c r="I34" s="46">
        <v>14</v>
      </c>
      <c r="J34" s="46" t="s">
        <v>399</v>
      </c>
    </row>
    <row r="35" spans="1:10" ht="29" x14ac:dyDescent="0.35">
      <c r="A35" s="46">
        <v>34</v>
      </c>
      <c r="B35" s="46" t="s">
        <v>218</v>
      </c>
      <c r="C35" s="46" t="s">
        <v>221</v>
      </c>
      <c r="D35" s="46" t="s">
        <v>393</v>
      </c>
      <c r="E35" s="45"/>
      <c r="F35" s="45"/>
      <c r="G35" s="46" t="s">
        <v>415</v>
      </c>
      <c r="H35" s="46"/>
      <c r="I35" s="46"/>
      <c r="J35" s="46" t="s">
        <v>416</v>
      </c>
    </row>
    <row r="36" spans="1:10" ht="58" x14ac:dyDescent="0.35">
      <c r="A36" s="46">
        <v>35</v>
      </c>
      <c r="B36" s="46" t="s">
        <v>227</v>
      </c>
      <c r="C36" s="46" t="s">
        <v>451</v>
      </c>
      <c r="D36" s="46" t="s">
        <v>393</v>
      </c>
      <c r="E36" s="45"/>
      <c r="F36" s="45"/>
      <c r="G36" s="46" t="s">
        <v>415</v>
      </c>
      <c r="H36" s="46"/>
      <c r="I36" s="46"/>
      <c r="J36" s="46" t="s">
        <v>416</v>
      </c>
    </row>
    <row r="37" spans="1:10" ht="58" x14ac:dyDescent="0.35">
      <c r="A37" s="46">
        <v>36</v>
      </c>
      <c r="B37" s="46" t="s">
        <v>235</v>
      </c>
      <c r="C37" s="46" t="s">
        <v>452</v>
      </c>
      <c r="D37" s="46" t="s">
        <v>393</v>
      </c>
      <c r="E37" s="45"/>
      <c r="F37" s="45"/>
      <c r="G37" s="46" t="s">
        <v>415</v>
      </c>
      <c r="H37" s="46"/>
      <c r="I37" s="46"/>
      <c r="J37" s="46" t="s">
        <v>416</v>
      </c>
    </row>
    <row r="38" spans="1:10" ht="29" x14ac:dyDescent="0.35">
      <c r="A38" s="46">
        <v>37</v>
      </c>
      <c r="B38" s="46" t="s">
        <v>241</v>
      </c>
      <c r="C38" s="46" t="s">
        <v>242</v>
      </c>
      <c r="D38" s="46" t="s">
        <v>393</v>
      </c>
      <c r="E38" s="45"/>
      <c r="F38" s="45"/>
      <c r="G38" s="46" t="s">
        <v>415</v>
      </c>
      <c r="H38" s="46"/>
      <c r="I38" s="46"/>
      <c r="J38" s="46" t="s">
        <v>416</v>
      </c>
    </row>
    <row r="39" spans="1:10" ht="29" x14ac:dyDescent="0.35">
      <c r="A39" s="46">
        <v>38</v>
      </c>
      <c r="B39" s="46" t="s">
        <v>453</v>
      </c>
      <c r="C39" s="46" t="s">
        <v>249</v>
      </c>
      <c r="D39" s="46" t="s">
        <v>393</v>
      </c>
      <c r="E39" s="45"/>
      <c r="F39" s="45"/>
      <c r="G39" s="46" t="s">
        <v>415</v>
      </c>
      <c r="H39" s="46"/>
      <c r="I39" s="46"/>
      <c r="J39" s="46" t="s">
        <v>416</v>
      </c>
    </row>
    <row r="40" spans="1:10" ht="29" x14ac:dyDescent="0.35">
      <c r="A40" s="46">
        <v>39</v>
      </c>
      <c r="B40" s="46" t="s">
        <v>254</v>
      </c>
      <c r="C40" s="46" t="s">
        <v>256</v>
      </c>
      <c r="D40" s="46" t="s">
        <v>393</v>
      </c>
      <c r="E40" s="45"/>
      <c r="F40" s="45"/>
      <c r="G40" s="46" t="s">
        <v>415</v>
      </c>
      <c r="H40" s="46"/>
      <c r="I40" s="46"/>
      <c r="J40" s="46" t="s">
        <v>416</v>
      </c>
    </row>
    <row r="41" spans="1:10" ht="43.5" x14ac:dyDescent="0.35">
      <c r="A41" s="46">
        <v>40</v>
      </c>
      <c r="B41" s="46" t="s">
        <v>260</v>
      </c>
      <c r="C41" s="46" t="s">
        <v>262</v>
      </c>
      <c r="D41" s="46" t="s">
        <v>395</v>
      </c>
      <c r="E41" s="45">
        <v>3.4</v>
      </c>
      <c r="F41" s="45">
        <v>6.8</v>
      </c>
      <c r="G41" s="46" t="s">
        <v>415</v>
      </c>
      <c r="H41" s="46" t="s">
        <v>454</v>
      </c>
      <c r="I41" s="46">
        <v>6</v>
      </c>
      <c r="J41" s="46" t="s">
        <v>400</v>
      </c>
    </row>
    <row r="42" spans="1:10" ht="43.5" x14ac:dyDescent="0.35">
      <c r="A42" s="46">
        <v>41</v>
      </c>
      <c r="B42" s="46" t="s">
        <v>266</v>
      </c>
      <c r="C42" s="46" t="s">
        <v>267</v>
      </c>
      <c r="D42" s="46" t="s">
        <v>393</v>
      </c>
      <c r="E42" s="45"/>
      <c r="F42" s="45"/>
      <c r="G42" s="46" t="s">
        <v>415</v>
      </c>
      <c r="H42" s="46"/>
      <c r="I42" s="46"/>
      <c r="J42" s="46" t="s">
        <v>416</v>
      </c>
    </row>
    <row r="43" spans="1:10" ht="29" x14ac:dyDescent="0.35">
      <c r="A43" s="46">
        <v>42</v>
      </c>
      <c r="B43" s="46" t="s">
        <v>273</v>
      </c>
      <c r="C43" s="46" t="s">
        <v>275</v>
      </c>
      <c r="D43" s="46" t="s">
        <v>395</v>
      </c>
      <c r="E43" s="45">
        <v>0.5</v>
      </c>
      <c r="F43" s="45">
        <v>2.5</v>
      </c>
      <c r="G43" s="46" t="s">
        <v>415</v>
      </c>
      <c r="H43" s="46" t="s">
        <v>428</v>
      </c>
      <c r="I43" s="46">
        <v>9</v>
      </c>
      <c r="J43" s="46" t="s">
        <v>401</v>
      </c>
    </row>
    <row r="44" spans="1:10" ht="58" x14ac:dyDescent="0.35">
      <c r="A44" s="46">
        <v>43</v>
      </c>
      <c r="B44" s="46" t="s">
        <v>279</v>
      </c>
      <c r="C44" s="46" t="s">
        <v>455</v>
      </c>
      <c r="D44" s="46" t="s">
        <v>393</v>
      </c>
      <c r="E44" s="45"/>
      <c r="F44" s="45"/>
      <c r="G44" s="46" t="s">
        <v>415</v>
      </c>
      <c r="H44" s="46"/>
      <c r="I44" s="46"/>
      <c r="J44" s="46" t="s">
        <v>416</v>
      </c>
    </row>
    <row r="45" spans="1:10" ht="58" x14ac:dyDescent="0.35">
      <c r="A45" s="46">
        <v>44</v>
      </c>
      <c r="B45" s="46" t="s">
        <v>285</v>
      </c>
      <c r="C45" s="46" t="s">
        <v>287</v>
      </c>
      <c r="D45" s="46" t="s">
        <v>393</v>
      </c>
      <c r="E45" s="45"/>
      <c r="F45" s="45"/>
      <c r="G45" s="46" t="s">
        <v>415</v>
      </c>
      <c r="H45" s="46"/>
      <c r="I45" s="46"/>
      <c r="J45" s="46" t="s">
        <v>416</v>
      </c>
    </row>
    <row r="46" spans="1:10" ht="58" x14ac:dyDescent="0.35">
      <c r="A46" s="46">
        <v>45</v>
      </c>
      <c r="B46" s="46" t="s">
        <v>290</v>
      </c>
      <c r="C46" s="46" t="s">
        <v>456</v>
      </c>
      <c r="D46" s="46" t="s">
        <v>393</v>
      </c>
      <c r="E46" s="45"/>
      <c r="F46" s="45"/>
      <c r="G46" s="46" t="s">
        <v>415</v>
      </c>
      <c r="H46" s="46"/>
      <c r="I46" s="46"/>
      <c r="J46" s="46" t="s">
        <v>416</v>
      </c>
    </row>
    <row r="47" spans="1:10" ht="58" x14ac:dyDescent="0.35">
      <c r="A47" s="46">
        <v>46</v>
      </c>
      <c r="B47" s="46" t="s">
        <v>296</v>
      </c>
      <c r="C47" s="46" t="s">
        <v>457</v>
      </c>
      <c r="D47" s="46" t="s">
        <v>393</v>
      </c>
      <c r="E47" s="45"/>
      <c r="F47" s="45"/>
      <c r="G47" s="46" t="s">
        <v>415</v>
      </c>
      <c r="H47" s="46"/>
      <c r="I47" s="46"/>
      <c r="J47" s="46" t="s">
        <v>416</v>
      </c>
    </row>
    <row r="48" spans="1:10" ht="29" x14ac:dyDescent="0.35">
      <c r="A48" s="46">
        <v>47</v>
      </c>
      <c r="B48" s="46" t="s">
        <v>303</v>
      </c>
      <c r="C48" s="46" t="s">
        <v>458</v>
      </c>
      <c r="D48" s="46" t="s">
        <v>395</v>
      </c>
      <c r="E48" s="45">
        <v>0.05</v>
      </c>
      <c r="F48" s="45">
        <v>0.05</v>
      </c>
      <c r="G48" s="46" t="s">
        <v>415</v>
      </c>
      <c r="H48" s="46" t="s">
        <v>428</v>
      </c>
      <c r="I48" s="46">
        <v>16</v>
      </c>
      <c r="J48" s="46" t="s">
        <v>402</v>
      </c>
    </row>
    <row r="49" spans="1:10" ht="58" x14ac:dyDescent="0.35">
      <c r="A49" s="46">
        <v>48</v>
      </c>
      <c r="B49" s="46" t="s">
        <v>310</v>
      </c>
      <c r="C49" s="46" t="s">
        <v>311</v>
      </c>
      <c r="D49" s="46" t="s">
        <v>393</v>
      </c>
      <c r="E49" s="45"/>
      <c r="F49" s="45"/>
      <c r="G49" s="46" t="s">
        <v>415</v>
      </c>
      <c r="H49" s="46"/>
      <c r="I49" s="46"/>
      <c r="J49" s="46" t="s">
        <v>416</v>
      </c>
    </row>
    <row r="50" spans="1:10" ht="58" x14ac:dyDescent="0.35">
      <c r="A50" s="46">
        <v>49</v>
      </c>
      <c r="B50" s="46" t="s">
        <v>315</v>
      </c>
      <c r="C50" s="46" t="s">
        <v>316</v>
      </c>
      <c r="D50" s="46" t="s">
        <v>393</v>
      </c>
      <c r="E50" s="45"/>
      <c r="F50" s="45"/>
      <c r="G50" s="46" t="s">
        <v>415</v>
      </c>
      <c r="H50" s="46"/>
      <c r="I50" s="46"/>
      <c r="J50" s="46" t="s">
        <v>416</v>
      </c>
    </row>
    <row r="51" spans="1:10" ht="72.5" x14ac:dyDescent="0.35">
      <c r="A51" s="46">
        <v>50</v>
      </c>
      <c r="B51" s="46" t="s">
        <v>319</v>
      </c>
      <c r="C51" s="46" t="s">
        <v>459</v>
      </c>
      <c r="D51" s="46" t="s">
        <v>393</v>
      </c>
      <c r="E51" s="45"/>
      <c r="F51" s="45"/>
      <c r="G51" s="46" t="s">
        <v>415</v>
      </c>
      <c r="H51" s="46"/>
      <c r="I51" s="46"/>
      <c r="J51" s="46" t="s">
        <v>416</v>
      </c>
    </row>
    <row r="52" spans="1:10" ht="58" x14ac:dyDescent="0.35">
      <c r="A52" s="46">
        <v>51</v>
      </c>
      <c r="B52" s="46" t="s">
        <v>460</v>
      </c>
      <c r="C52" s="46" t="s">
        <v>461</v>
      </c>
      <c r="D52" s="46" t="s">
        <v>393</v>
      </c>
      <c r="E52" s="45"/>
      <c r="F52" s="45"/>
      <c r="G52" s="46" t="s">
        <v>415</v>
      </c>
      <c r="H52" s="46"/>
      <c r="I52" s="46"/>
      <c r="J52" s="46" t="s">
        <v>416</v>
      </c>
    </row>
    <row r="53" spans="1:10" ht="29" x14ac:dyDescent="0.35">
      <c r="A53" s="46">
        <v>52</v>
      </c>
      <c r="B53" s="46" t="s">
        <v>330</v>
      </c>
      <c r="C53" s="46" t="s">
        <v>331</v>
      </c>
      <c r="D53" s="46" t="s">
        <v>395</v>
      </c>
      <c r="E53" s="45">
        <v>5</v>
      </c>
      <c r="F53" s="45">
        <v>5</v>
      </c>
      <c r="G53" s="46" t="s">
        <v>415</v>
      </c>
      <c r="H53" s="46" t="s">
        <v>428</v>
      </c>
      <c r="I53" s="46">
        <v>4</v>
      </c>
      <c r="J53" s="46" t="s">
        <v>403</v>
      </c>
    </row>
    <row r="54" spans="1:10" ht="43.5" x14ac:dyDescent="0.35">
      <c r="A54" s="46">
        <v>53</v>
      </c>
      <c r="B54" s="46" t="s">
        <v>333</v>
      </c>
      <c r="C54" s="46" t="s">
        <v>334</v>
      </c>
      <c r="D54" s="46" t="s">
        <v>394</v>
      </c>
      <c r="E54" s="45">
        <v>5</v>
      </c>
      <c r="F54" s="45">
        <v>15</v>
      </c>
      <c r="G54" s="46" t="s">
        <v>415</v>
      </c>
      <c r="H54" s="46" t="s">
        <v>428</v>
      </c>
      <c r="I54" s="46">
        <v>6</v>
      </c>
      <c r="J54" s="46" t="s">
        <v>462</v>
      </c>
    </row>
    <row r="55" spans="1:10" ht="29" x14ac:dyDescent="0.35">
      <c r="A55" s="46">
        <v>54</v>
      </c>
      <c r="B55" s="46" t="s">
        <v>337</v>
      </c>
      <c r="C55" s="46" t="s">
        <v>463</v>
      </c>
      <c r="D55" s="46" t="s">
        <v>393</v>
      </c>
      <c r="E55" s="45"/>
      <c r="F55" s="45"/>
      <c r="G55" s="46" t="s">
        <v>415</v>
      </c>
      <c r="H55" s="46"/>
      <c r="I55" s="46"/>
      <c r="J55" s="46" t="s">
        <v>416</v>
      </c>
    </row>
    <row r="56" spans="1:10" ht="58" x14ac:dyDescent="0.35">
      <c r="A56" s="46">
        <v>55</v>
      </c>
      <c r="B56" s="46" t="s">
        <v>344</v>
      </c>
      <c r="C56" s="46" t="s">
        <v>464</v>
      </c>
      <c r="D56" s="46" t="s">
        <v>393</v>
      </c>
      <c r="E56" s="45"/>
      <c r="F56" s="45"/>
      <c r="G56" s="46" t="s">
        <v>415</v>
      </c>
      <c r="H56" s="46"/>
      <c r="I56" s="46"/>
      <c r="J56" s="46" t="s">
        <v>416</v>
      </c>
    </row>
    <row r="57" spans="1:10" ht="29" x14ac:dyDescent="0.35">
      <c r="A57" s="46">
        <v>56</v>
      </c>
      <c r="B57" s="46" t="s">
        <v>347</v>
      </c>
      <c r="C57" s="46" t="s">
        <v>348</v>
      </c>
      <c r="D57" s="46" t="s">
        <v>393</v>
      </c>
      <c r="E57" s="45"/>
      <c r="F57" s="45"/>
      <c r="G57" s="46" t="s">
        <v>415</v>
      </c>
      <c r="H57" s="46"/>
      <c r="I57" s="46"/>
      <c r="J57" s="46" t="s">
        <v>416</v>
      </c>
    </row>
    <row r="58" spans="1:10" ht="29" x14ac:dyDescent="0.35">
      <c r="A58" s="46">
        <v>57</v>
      </c>
      <c r="B58" s="46" t="s">
        <v>352</v>
      </c>
      <c r="C58" s="46" t="s">
        <v>353</v>
      </c>
      <c r="D58" s="46" t="s">
        <v>393</v>
      </c>
      <c r="E58" s="45"/>
      <c r="F58" s="45"/>
      <c r="G58" s="46" t="s">
        <v>415</v>
      </c>
      <c r="H58" s="46"/>
      <c r="I58" s="46"/>
      <c r="J58" s="46" t="s">
        <v>416</v>
      </c>
    </row>
    <row r="59" spans="1:10" ht="43.5" x14ac:dyDescent="0.35">
      <c r="A59" s="46">
        <v>58</v>
      </c>
      <c r="B59" s="46" t="s">
        <v>37</v>
      </c>
      <c r="C59" s="46" t="s">
        <v>358</v>
      </c>
      <c r="D59" s="46" t="s">
        <v>395</v>
      </c>
      <c r="E59" s="45">
        <v>30</v>
      </c>
      <c r="F59" s="45">
        <v>150</v>
      </c>
      <c r="G59" s="46" t="s">
        <v>415</v>
      </c>
      <c r="H59" s="46" t="s">
        <v>428</v>
      </c>
      <c r="I59" s="46">
        <v>3</v>
      </c>
      <c r="J59" s="46" t="s">
        <v>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Tenders</vt:lpstr>
      <vt:lpstr>Advisor contact</vt:lpstr>
      <vt:lpstr>Sheet1</vt:lpstr>
      <vt:lpstr>Sheet2</vt:lpstr>
      <vt:lpstr>Value Mapping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Anirudha Manohar Chavan</cp:lastModifiedBy>
  <dcterms:modified xsi:type="dcterms:W3CDTF">2026-08-24T09:38:56Z</dcterms:modified>
</cp:coreProperties>
</file>